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tzzT/Library/Mobile Documents/com~apple~CloudDocs/Homework Assignments/"/>
    </mc:Choice>
  </mc:AlternateContent>
  <xr:revisionPtr revIDLastSave="0" documentId="8_{5FD5E04F-F2A8-4546-B088-EBB1379487B9}" xr6:coauthVersionLast="47" xr6:coauthVersionMax="47" xr10:uidLastSave="{00000000-0000-0000-0000-000000000000}"/>
  <bookViews>
    <workbookView xWindow="0" yWindow="0" windowWidth="28800" windowHeight="18000" activeTab="4" xr2:uid="{00000000-000D-0000-FFFF-FFFF00000000}"/>
  </bookViews>
  <sheets>
    <sheet name="Sandwiches" sheetId="1" r:id="rId1"/>
    <sheet name="Wraps" sheetId="2" r:id="rId2"/>
    <sheet name="Salads" sheetId="3" r:id="rId3"/>
    <sheet name="Summary" sheetId="4" r:id="rId4"/>
    <sheet name="What If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6" l="1"/>
  <c r="H16" i="6"/>
  <c r="F16" i="6"/>
  <c r="J6" i="6"/>
  <c r="J7" i="6"/>
  <c r="J8" i="6"/>
  <c r="J9" i="6"/>
  <c r="J10" i="6"/>
  <c r="J11" i="6"/>
  <c r="J12" i="6"/>
  <c r="J13" i="6"/>
  <c r="J14" i="6"/>
  <c r="I6" i="6"/>
  <c r="I7" i="6"/>
  <c r="I8" i="6"/>
  <c r="I9" i="6"/>
  <c r="I10" i="6"/>
  <c r="I11" i="6"/>
  <c r="I12" i="6"/>
  <c r="I13" i="6"/>
  <c r="I14" i="6"/>
  <c r="J5" i="6"/>
  <c r="I5" i="6"/>
  <c r="H6" i="6"/>
  <c r="H7" i="6"/>
  <c r="H8" i="6"/>
  <c r="H9" i="6"/>
  <c r="H10" i="6"/>
  <c r="H11" i="6"/>
  <c r="H12" i="6"/>
  <c r="H13" i="6"/>
  <c r="H14" i="6"/>
  <c r="H5" i="6"/>
  <c r="G6" i="6"/>
  <c r="G7" i="6"/>
  <c r="G8" i="6"/>
  <c r="G9" i="6"/>
  <c r="G10" i="6"/>
  <c r="G11" i="6"/>
  <c r="G12" i="6"/>
  <c r="G13" i="6"/>
  <c r="G14" i="6"/>
  <c r="G5" i="6"/>
  <c r="F14" i="6"/>
  <c r="F6" i="6"/>
  <c r="F7" i="6"/>
  <c r="F8" i="6"/>
  <c r="F9" i="6"/>
  <c r="F10" i="6"/>
  <c r="F11" i="6"/>
  <c r="F12" i="6"/>
  <c r="F13" i="6"/>
  <c r="E6" i="6"/>
  <c r="E7" i="6"/>
  <c r="E8" i="6"/>
  <c r="E9" i="6"/>
  <c r="E10" i="6"/>
  <c r="E11" i="6"/>
  <c r="E12" i="6"/>
  <c r="E13" i="6"/>
  <c r="E14" i="6"/>
  <c r="F5" i="6"/>
  <c r="E5" i="6"/>
  <c r="D5" i="4"/>
  <c r="D4" i="4"/>
  <c r="D3" i="4"/>
  <c r="C5" i="4"/>
  <c r="C4" i="4"/>
  <c r="C3" i="4"/>
  <c r="B5" i="4"/>
  <c r="B3" i="4"/>
  <c r="B4" i="4"/>
  <c r="D17" i="2"/>
  <c r="D17" i="3"/>
  <c r="D17" i="1"/>
  <c r="D16" i="2"/>
  <c r="D16" i="3"/>
  <c r="D16" i="1"/>
  <c r="D5" i="2"/>
  <c r="D15" i="2" s="1"/>
  <c r="D6" i="2"/>
  <c r="D7" i="2"/>
  <c r="D8" i="2"/>
  <c r="D9" i="2"/>
  <c r="D10" i="2"/>
  <c r="D11" i="2"/>
  <c r="D12" i="2"/>
  <c r="D13" i="2"/>
  <c r="D5" i="3"/>
  <c r="D15" i="3" s="1"/>
  <c r="D6" i="3"/>
  <c r="D7" i="3"/>
  <c r="D8" i="3"/>
  <c r="D9" i="3"/>
  <c r="D10" i="3"/>
  <c r="D11" i="3"/>
  <c r="D12" i="3"/>
  <c r="D13" i="3"/>
  <c r="D5" i="1"/>
  <c r="D15" i="1" s="1"/>
  <c r="D6" i="1"/>
  <c r="D7" i="1"/>
  <c r="D8" i="1"/>
  <c r="D9" i="1"/>
  <c r="D10" i="1"/>
  <c r="D11" i="1"/>
  <c r="D12" i="1"/>
  <c r="D13" i="1"/>
  <c r="D4" i="2"/>
  <c r="D4" i="3"/>
  <c r="D4" i="1"/>
  <c r="D14" i="6"/>
  <c r="D13" i="6"/>
  <c r="D12" i="6"/>
  <c r="D11" i="6"/>
  <c r="D10" i="6"/>
  <c r="D9" i="6"/>
  <c r="D8" i="6"/>
  <c r="D7" i="6"/>
  <c r="D6" i="6"/>
  <c r="D5" i="6"/>
  <c r="D16" i="6" l="1"/>
</calcChain>
</file>

<file path=xl/sharedStrings.xml><?xml version="1.0" encoding="utf-8"?>
<sst xmlns="http://schemas.openxmlformats.org/spreadsheetml/2006/main" count="92" uniqueCount="55">
  <si>
    <t>Gourmet Sandwiches</t>
  </si>
  <si>
    <t>Traditional Club</t>
  </si>
  <si>
    <t>Southwest Chicken</t>
  </si>
  <si>
    <t>Ham and Cheese Favorite</t>
  </si>
  <si>
    <t>Simply Chicken</t>
  </si>
  <si>
    <t>Tasty Turkey</t>
  </si>
  <si>
    <t>Rancher’s BBQ Beef</t>
  </si>
  <si>
    <t>Italian Hoagie</t>
  </si>
  <si>
    <t>Tuna Salad</t>
  </si>
  <si>
    <t>Pork Tenderloin</t>
  </si>
  <si>
    <t>Specialty Wraps</t>
  </si>
  <si>
    <t>Florentine Vegetarian</t>
  </si>
  <si>
    <t>Asian Delight</t>
  </si>
  <si>
    <t>Beef Chipotle</t>
  </si>
  <si>
    <t>Chicken Ranchero</t>
  </si>
  <si>
    <t>Chicken Caesar</t>
  </si>
  <si>
    <t>Cobb Salad</t>
  </si>
  <si>
    <t>Chef’s Vegetarian</t>
  </si>
  <si>
    <t>Oriental Noodle Salad</t>
  </si>
  <si>
    <t>Steak and Shrimp Combo</t>
  </si>
  <si>
    <t>Philly Cheesesteak</t>
  </si>
  <si>
    <t>Popeye Special</t>
  </si>
  <si>
    <t>Sundried Tomato Basil</t>
  </si>
  <si>
    <t>Greek Isle Paradise</t>
  </si>
  <si>
    <t>Chipotle Ranch</t>
  </si>
  <si>
    <t>Mexican Chicken</t>
  </si>
  <si>
    <t>Grilled Teriyaki Chicken</t>
  </si>
  <si>
    <t>Tossed Garden Salad</t>
  </si>
  <si>
    <t>Totally Taco Salad</t>
  </si>
  <si>
    <t>Cajun BBQ</t>
  </si>
  <si>
    <t>Avocado Turkey</t>
  </si>
  <si>
    <t>Scrumptious Salads</t>
  </si>
  <si>
    <t>Cost</t>
  </si>
  <si>
    <t>Selling Price</t>
  </si>
  <si>
    <t>Food Cost Percentage</t>
  </si>
  <si>
    <t>Bistro in a Box</t>
  </si>
  <si>
    <t>Menu Item Food Cost</t>
  </si>
  <si>
    <t>Menu Item</t>
  </si>
  <si>
    <t>Category</t>
  </si>
  <si>
    <t>Sandwiches</t>
  </si>
  <si>
    <t>Wraps</t>
  </si>
  <si>
    <t>Salads</t>
  </si>
  <si>
    <t>What If Analysis -- Price Increase Based on Current Selling Price</t>
  </si>
  <si>
    <t xml:space="preserve">Selling Price </t>
  </si>
  <si>
    <t>AVERAGE FOOD COST PERCENTAGE</t>
  </si>
  <si>
    <t>Minimum Food Cost %</t>
  </si>
  <si>
    <t>Maximum Food Cost %</t>
  </si>
  <si>
    <t>Average Food Cost %</t>
  </si>
  <si>
    <t>Average Food Cost Percentage</t>
  </si>
  <si>
    <t>Minimum Food Cost Percentage</t>
  </si>
  <si>
    <t>Maximum Food Cost Percentage</t>
  </si>
  <si>
    <t>Current Pricing</t>
  </si>
  <si>
    <t>Average</t>
  </si>
  <si>
    <t>Minimum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</si>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</sst>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%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0"/>
      <name val="Arial Black"/>
      <family val="2"/>
    </font>
    <font>
      <sz val="12"/>
      <color theme="0"/>
      <name val="Calibri"/>
      <family val="2"/>
      <scheme val="minor"/>
    </font>
    <font>
      <sz val="18"/>
      <color theme="0"/>
      <name val="Arial"/>
      <family val="2"/>
    </font>
    <font>
      <sz val="14"/>
      <color theme="0"/>
      <name val="Arial"/>
      <family val="2"/>
    </font>
    <font>
      <b/>
      <sz val="11"/>
      <color indexed="8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16"/>
      <name val="Arial"/>
      <family val="2"/>
    </font>
    <font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wrapText="1"/>
    </xf>
    <xf numFmtId="164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44" fontId="0" fillId="0" borderId="2" xfId="1" applyFont="1" applyBorder="1"/>
    <xf numFmtId="0" fontId="2" fillId="0" borderId="0" xfId="0" applyFont="1"/>
    <xf numFmtId="164" fontId="0" fillId="0" borderId="0" xfId="0" applyNumberFormat="1"/>
    <xf numFmtId="0" fontId="0" fillId="0" borderId="0" xfId="0" applyAlignment="1">
      <alignment vertical="top"/>
    </xf>
    <xf numFmtId="0" fontId="0" fillId="0" borderId="2" xfId="0" applyBorder="1"/>
    <xf numFmtId="0" fontId="3" fillId="0" borderId="2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9" fontId="0" fillId="0" borderId="0" xfId="0" applyNumberFormat="1"/>
    <xf numFmtId="44" fontId="0" fillId="0" borderId="0" xfId="1" applyFont="1"/>
    <xf numFmtId="44" fontId="0" fillId="0" borderId="0" xfId="0" applyNumberFormat="1"/>
    <xf numFmtId="164" fontId="0" fillId="0" borderId="0" xfId="2" applyNumberFormat="1" applyFont="1"/>
    <xf numFmtId="0" fontId="12" fillId="0" borderId="0" xfId="0" applyFont="1"/>
    <xf numFmtId="0" fontId="11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3" borderId="2" xfId="0" applyFill="1" applyBorder="1"/>
    <xf numFmtId="164" fontId="0" fillId="3" borderId="2" xfId="0" applyNumberFormat="1" applyFill="1" applyBorder="1"/>
    <xf numFmtId="0" fontId="0" fillId="4" borderId="2" xfId="0" applyFill="1" applyBorder="1"/>
    <xf numFmtId="164" fontId="0" fillId="4" borderId="2" xfId="0" applyNumberFormat="1" applyFill="1" applyBorder="1"/>
    <xf numFmtId="0" fontId="0" fillId="5" borderId="2" xfId="0" applyFill="1" applyBorder="1"/>
    <xf numFmtId="164" fontId="0" fillId="5" borderId="2" xfId="0" applyNumberFormat="1" applyFill="1" applyBorder="1"/>
    <xf numFmtId="0" fontId="7" fillId="6" borderId="0" xfId="0" applyFont="1" applyFill="1" applyAlignment="1">
      <alignment horizontal="center" vertical="center"/>
    </xf>
    <xf numFmtId="0" fontId="0" fillId="0" borderId="3" xfId="0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4" fillId="7" borderId="4" xfId="0" applyFont="1" applyFill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164" fontId="0" fillId="0" borderId="4" xfId="2" applyNumberFormat="1" applyFont="1" applyBorder="1" applyAlignment="1">
      <alignment horizontal="right"/>
    </xf>
    <xf numFmtId="0" fontId="0" fillId="0" borderId="0" xfId="0" applyBorder="1" applyAlignment="1">
      <alignment horizontal="center"/>
    </xf>
    <xf numFmtId="9" fontId="2" fillId="8" borderId="5" xfId="0" applyNumberFormat="1" applyFont="1" applyFill="1" applyBorder="1" applyAlignment="1">
      <alignment horizontal="center"/>
    </xf>
    <xf numFmtId="9" fontId="2" fillId="8" borderId="6" xfId="0" applyNumberFormat="1" applyFont="1" applyFill="1" applyBorder="1" applyAlignment="1">
      <alignment horizontal="center"/>
    </xf>
    <xf numFmtId="0" fontId="3" fillId="8" borderId="7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44" fontId="0" fillId="8" borderId="7" xfId="0" applyNumberFormat="1" applyFill="1" applyBorder="1"/>
    <xf numFmtId="9" fontId="0" fillId="8" borderId="8" xfId="2" applyFont="1" applyFill="1" applyBorder="1"/>
    <xf numFmtId="44" fontId="0" fillId="8" borderId="9" xfId="0" applyNumberFormat="1" applyFill="1" applyBorder="1"/>
    <xf numFmtId="9" fontId="0" fillId="8" borderId="10" xfId="2" applyFont="1" applyFill="1" applyBorder="1"/>
    <xf numFmtId="9" fontId="2" fillId="3" borderId="5" xfId="0" applyNumberFormat="1" applyFont="1" applyFill="1" applyBorder="1" applyAlignment="1">
      <alignment horizontal="center"/>
    </xf>
    <xf numFmtId="9" fontId="2" fillId="3" borderId="6" xfId="0" applyNumberFormat="1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44" fontId="0" fillId="3" borderId="7" xfId="0" applyNumberFormat="1" applyFill="1" applyBorder="1"/>
    <xf numFmtId="164" fontId="0" fillId="3" borderId="8" xfId="0" applyNumberFormat="1" applyFill="1" applyBorder="1"/>
    <xf numFmtId="44" fontId="0" fillId="3" borderId="9" xfId="0" applyNumberFormat="1" applyFill="1" applyBorder="1"/>
    <xf numFmtId="164" fontId="0" fillId="3" borderId="10" xfId="0" applyNumberFormat="1" applyFill="1" applyBorder="1"/>
    <xf numFmtId="9" fontId="2" fillId="4" borderId="5" xfId="0" applyNumberFormat="1" applyFont="1" applyFill="1" applyBorder="1" applyAlignment="1">
      <alignment horizontal="center"/>
    </xf>
    <xf numFmtId="9" fontId="2" fillId="4" borderId="6" xfId="0" applyNumberFormat="1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44" fontId="0" fillId="4" borderId="7" xfId="0" applyNumberFormat="1" applyFill="1" applyBorder="1"/>
    <xf numFmtId="9" fontId="0" fillId="4" borderId="8" xfId="2" applyFont="1" applyFill="1" applyBorder="1"/>
    <xf numFmtId="44" fontId="0" fillId="4" borderId="9" xfId="0" applyNumberFormat="1" applyFill="1" applyBorder="1"/>
    <xf numFmtId="9" fontId="0" fillId="4" borderId="10" xfId="2" applyFont="1" applyFill="1" applyBorder="1"/>
    <xf numFmtId="9" fontId="2" fillId="0" borderId="1" xfId="0" applyNumberFormat="1" applyFont="1" applyBorder="1"/>
    <xf numFmtId="164" fontId="2" fillId="0" borderId="1" xfId="0" applyNumberFormat="1" applyFont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Food</a:t>
            </a:r>
            <a:r>
              <a:rPr lang="en-US" baseline="0"/>
              <a:t> Cost Percentage by Category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22557633420822398"/>
          <c:y val="6.94444444444444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Summary!$A$3</c:f>
              <c:strCache>
                <c:ptCount val="1"/>
                <c:pt idx="0">
                  <c:v>Sandwiches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Summary!$B$2:$D$2</c:f>
              <c:strCache>
                <c:ptCount val="3"/>
                <c:pt idx="0">
                  <c:v>Average Food Cost %</c:v>
                </c:pt>
                <c:pt idx="1">
                  <c:v>Minimum Food Cost %</c:v>
                </c:pt>
                <c:pt idx="2">
                  <c:v>Maximum Food Cost %</c:v>
                </c:pt>
              </c:strCache>
            </c:strRef>
          </c:cat>
          <c:val>
            <c:numRef>
              <c:f>Summary!$B$3:$D$3</c:f>
              <c:numCache>
                <c:formatCode>0.0%</c:formatCode>
                <c:ptCount val="3"/>
                <c:pt idx="0">
                  <c:v>0.41358761093420915</c:v>
                </c:pt>
                <c:pt idx="1">
                  <c:v>0.32105263157894737</c:v>
                </c:pt>
                <c:pt idx="2">
                  <c:v>0.49658536585365853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7C-054C-AB7C-8A016D472DB6}"/>
            </c:ext>
          </c:extLst>
        </c:ser>
        <c:ser>
          <c:idx val="1"/>
          <c:order val="1"/>
          <c:tx>
            <c:strRef>
              <c:f>Summary!$A$4</c:f>
              <c:strCache>
                <c:ptCount val="1"/>
                <c:pt idx="0">
                  <c:v>Wraps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Summary!$B$2:$D$2</c:f>
              <c:strCache>
                <c:ptCount val="3"/>
                <c:pt idx="0">
                  <c:v>Average Food Cost %</c:v>
                </c:pt>
                <c:pt idx="1">
                  <c:v>Minimum Food Cost %</c:v>
                </c:pt>
                <c:pt idx="2">
                  <c:v>Maximum Food Cost %</c:v>
                </c:pt>
              </c:strCache>
            </c:strRef>
          </c:cat>
          <c:val>
            <c:numRef>
              <c:f>Summary!$B$4:$D$4</c:f>
              <c:numCache>
                <c:formatCode>0.0%</c:formatCode>
                <c:ptCount val="3"/>
                <c:pt idx="0">
                  <c:v>0.38236021426114308</c:v>
                </c:pt>
                <c:pt idx="1">
                  <c:v>0.34705882352941181</c:v>
                </c:pt>
                <c:pt idx="2">
                  <c:v>0.41894736842105262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7C-054C-AB7C-8A016D472DB6}"/>
            </c:ext>
          </c:extLst>
        </c:ser>
        <c:ser>
          <c:idx val="2"/>
          <c:order val="2"/>
          <c:tx>
            <c:strRef>
              <c:f>Summary!$A$5</c:f>
              <c:strCache>
                <c:ptCount val="1"/>
                <c:pt idx="0">
                  <c:v>Salads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Summary!$B$2:$D$2</c:f>
              <c:strCache>
                <c:ptCount val="3"/>
                <c:pt idx="0">
                  <c:v>Average Food Cost %</c:v>
                </c:pt>
                <c:pt idx="1">
                  <c:v>Minimum Food Cost %</c:v>
                </c:pt>
                <c:pt idx="2">
                  <c:v>Maximum Food Cost %</c:v>
                </c:pt>
              </c:strCache>
            </c:strRef>
          </c:cat>
          <c:val>
            <c:numRef>
              <c:f>Summary!$B$5:$D$5</c:f>
              <c:numCache>
                <c:formatCode>0.0%</c:formatCode>
                <c:ptCount val="3"/>
                <c:pt idx="0">
                  <c:v>0.38486030026045509</c:v>
                </c:pt>
                <c:pt idx="1">
                  <c:v>0.31</c:v>
                </c:pt>
                <c:pt idx="2">
                  <c:v>0.47904761904761906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7C-054C-AB7C-8A016D472D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86347407"/>
        <c:axId val="313510271"/>
        <c:axId val="0"/>
      </c:bar3DChart>
      <c:catAx>
        <c:axId val="28634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510271"/>
        <c:crosses val="autoZero"/>
        <c:auto val="1"/>
        <c:lblAlgn val="ctr"/>
        <c:lblOffset val="100"/>
        <c:noMultiLvlLbl val="0"/>
      </c:catAx>
      <c:valAx>
        <c:axId val="313510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34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</xdr:colOff>
      <xdr:row>11</xdr:row>
      <xdr:rowOff>165100</xdr:rowOff>
    </xdr:from>
    <xdr:to>
      <xdr:col>3</xdr:col>
      <xdr:colOff>1778000</xdr:colOff>
      <xdr:row>28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BCBD36-F357-C1D0-CFA4-180A60242B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view="pageLayout" zoomScaleNormal="100" workbookViewId="0">
      <selection activeCell="A11" sqref="A11"/>
    </sheetView>
  </sheetViews>
  <sheetFormatPr baseColWidth="10" defaultColWidth="8.83203125" defaultRowHeight="15" x14ac:dyDescent="0.2"/>
  <cols>
    <col min="1" max="1" width="17.6640625" customWidth="1"/>
    <col min="2" max="2" width="9.1640625" customWidth="1"/>
    <col min="3" max="3" width="25.6640625" customWidth="1"/>
    <col min="4" max="4" width="11.33203125" customWidth="1"/>
  </cols>
  <sheetData>
    <row r="1" spans="1:4" ht="23" x14ac:dyDescent="0.2">
      <c r="A1" s="12" t="s">
        <v>35</v>
      </c>
      <c r="B1" s="12"/>
      <c r="C1" s="12"/>
      <c r="D1" s="12"/>
    </row>
    <row r="2" spans="1:4" ht="18" x14ac:dyDescent="0.2">
      <c r="A2" s="13" t="s">
        <v>0</v>
      </c>
      <c r="B2" s="13"/>
      <c r="C2" s="13"/>
      <c r="D2" s="13"/>
    </row>
    <row r="3" spans="1:4" ht="30.75" customHeight="1" x14ac:dyDescent="0.2">
      <c r="A3" s="6" t="s">
        <v>37</v>
      </c>
      <c r="B3" s="15" t="s">
        <v>32</v>
      </c>
      <c r="C3" s="15" t="s">
        <v>33</v>
      </c>
      <c r="D3" s="15" t="s">
        <v>34</v>
      </c>
    </row>
    <row r="4" spans="1:4" x14ac:dyDescent="0.2">
      <c r="A4" t="s">
        <v>1</v>
      </c>
      <c r="B4" s="18">
        <v>4.55</v>
      </c>
      <c r="C4" s="19">
        <v>11</v>
      </c>
      <c r="D4" s="20">
        <f>B4/C4</f>
        <v>0.41363636363636364</v>
      </c>
    </row>
    <row r="5" spans="1:4" x14ac:dyDescent="0.2">
      <c r="A5" t="s">
        <v>2</v>
      </c>
      <c r="B5" s="18">
        <v>3.05</v>
      </c>
      <c r="C5" s="19">
        <v>9.5</v>
      </c>
      <c r="D5" s="20">
        <f t="shared" ref="D5:D13" si="0">B5/C5</f>
        <v>0.32105263157894737</v>
      </c>
    </row>
    <row r="6" spans="1:4" x14ac:dyDescent="0.2">
      <c r="A6" t="s">
        <v>3</v>
      </c>
      <c r="B6" s="18">
        <v>3.9</v>
      </c>
      <c r="C6" s="19">
        <v>10.25</v>
      </c>
      <c r="D6" s="20">
        <f t="shared" si="0"/>
        <v>0.38048780487804879</v>
      </c>
    </row>
    <row r="7" spans="1:4" x14ac:dyDescent="0.2">
      <c r="A7" t="s">
        <v>4</v>
      </c>
      <c r="B7" s="18">
        <v>3.5</v>
      </c>
      <c r="C7" s="19">
        <v>9.5</v>
      </c>
      <c r="D7" s="20">
        <f t="shared" si="0"/>
        <v>0.36842105263157893</v>
      </c>
    </row>
    <row r="8" spans="1:4" x14ac:dyDescent="0.2">
      <c r="A8" t="s">
        <v>5</v>
      </c>
      <c r="B8" s="18">
        <v>3.47</v>
      </c>
      <c r="C8" s="19">
        <v>9.5</v>
      </c>
      <c r="D8" s="20">
        <f t="shared" si="0"/>
        <v>0.36526315789473685</v>
      </c>
    </row>
    <row r="9" spans="1:4" x14ac:dyDescent="0.2">
      <c r="A9" t="s">
        <v>6</v>
      </c>
      <c r="B9" s="18">
        <v>5.09</v>
      </c>
      <c r="C9" s="19">
        <v>10.25</v>
      </c>
      <c r="D9" s="20">
        <f t="shared" si="0"/>
        <v>0.49658536585365853</v>
      </c>
    </row>
    <row r="10" spans="1:4" x14ac:dyDescent="0.2">
      <c r="A10" t="s">
        <v>7</v>
      </c>
      <c r="B10" s="18">
        <v>4.9000000000000004</v>
      </c>
      <c r="C10" s="19">
        <v>10.25</v>
      </c>
      <c r="D10" s="20">
        <f t="shared" si="0"/>
        <v>0.47804878048780491</v>
      </c>
    </row>
    <row r="11" spans="1:4" x14ac:dyDescent="0.2">
      <c r="A11" t="s">
        <v>8</v>
      </c>
      <c r="B11" s="18">
        <v>3.84</v>
      </c>
      <c r="C11" s="19">
        <v>9.5</v>
      </c>
      <c r="D11" s="20">
        <f t="shared" si="0"/>
        <v>0.40421052631578946</v>
      </c>
    </row>
    <row r="12" spans="1:4" x14ac:dyDescent="0.2">
      <c r="A12" t="s">
        <v>9</v>
      </c>
      <c r="B12" s="18">
        <v>5.17</v>
      </c>
      <c r="C12" s="19">
        <v>10.5</v>
      </c>
      <c r="D12" s="20">
        <f t="shared" si="0"/>
        <v>0.49238095238095236</v>
      </c>
    </row>
    <row r="13" spans="1:4" x14ac:dyDescent="0.2">
      <c r="A13" t="s">
        <v>20</v>
      </c>
      <c r="B13" s="18">
        <v>3.95</v>
      </c>
      <c r="C13" s="19">
        <v>9.5</v>
      </c>
      <c r="D13" s="20">
        <f t="shared" si="0"/>
        <v>0.41578947368421054</v>
      </c>
    </row>
    <row r="15" spans="1:4" x14ac:dyDescent="0.2">
      <c r="C15" s="11" t="s">
        <v>48</v>
      </c>
      <c r="D15" s="17">
        <f>AVERAGE(D4:D13)</f>
        <v>0.41358761093420915</v>
      </c>
    </row>
    <row r="16" spans="1:4" x14ac:dyDescent="0.2">
      <c r="C16" s="11" t="s">
        <v>49</v>
      </c>
      <c r="D16" s="17">
        <f>MIN(D4:D13)</f>
        <v>0.32105263157894737</v>
      </c>
    </row>
    <row r="17" spans="3:4" x14ac:dyDescent="0.2">
      <c r="C17" s="11" t="s">
        <v>50</v>
      </c>
      <c r="D17" s="17">
        <f>MAX(D4:D13)</f>
        <v>0.49658536585365853</v>
      </c>
    </row>
  </sheetData>
  <mergeCells count="2">
    <mergeCell ref="A1:D1"/>
    <mergeCell ref="A2:D2"/>
  </mergeCells>
  <pageMargins left="1.95" right="0.7" top="2" bottom="0.75" header="0.3" footer="0.3"/>
  <pageSetup orientation="portrait" horizontalDpi="300" verticalDpi="300" r:id="rId1"/>
  <headerFooter alignWithMargins="0">
    <oddHeader>&amp;C&amp;G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view="pageLayout" zoomScaleNormal="100" workbookViewId="0">
      <selection activeCell="D13" sqref="D4:D13"/>
    </sheetView>
  </sheetViews>
  <sheetFormatPr baseColWidth="10" defaultColWidth="8.83203125" defaultRowHeight="15" x14ac:dyDescent="0.2"/>
  <cols>
    <col min="1" max="1" width="17.6640625" customWidth="1"/>
    <col min="3" max="3" width="25.6640625" customWidth="1"/>
    <col min="4" max="4" width="11.33203125" customWidth="1"/>
  </cols>
  <sheetData>
    <row r="1" spans="1:4" ht="23" x14ac:dyDescent="0.2">
      <c r="A1" s="12" t="s">
        <v>35</v>
      </c>
      <c r="B1" s="12"/>
      <c r="C1" s="12"/>
      <c r="D1" s="12"/>
    </row>
    <row r="2" spans="1:4" ht="18" x14ac:dyDescent="0.2">
      <c r="A2" s="13" t="s">
        <v>10</v>
      </c>
      <c r="B2" s="13"/>
      <c r="C2" s="13"/>
      <c r="D2" s="13"/>
    </row>
    <row r="3" spans="1:4" ht="30.75" customHeight="1" x14ac:dyDescent="0.2">
      <c r="A3" s="14" t="s">
        <v>37</v>
      </c>
      <c r="B3" s="16" t="s">
        <v>32</v>
      </c>
      <c r="C3" s="16" t="s">
        <v>33</v>
      </c>
      <c r="D3" s="16" t="s">
        <v>34</v>
      </c>
    </row>
    <row r="4" spans="1:4" x14ac:dyDescent="0.2">
      <c r="A4" t="s">
        <v>11</v>
      </c>
      <c r="B4" s="18">
        <v>2.95</v>
      </c>
      <c r="C4" s="19">
        <v>8.5</v>
      </c>
      <c r="D4" s="20">
        <f>B4/C4</f>
        <v>0.34705882352941181</v>
      </c>
    </row>
    <row r="5" spans="1:4" x14ac:dyDescent="0.2">
      <c r="A5" t="s">
        <v>12</v>
      </c>
      <c r="B5" s="18">
        <v>3.04</v>
      </c>
      <c r="C5" s="19">
        <v>8.5</v>
      </c>
      <c r="D5" s="20">
        <f t="shared" ref="D5:D13" si="0">B5/C5</f>
        <v>0.35764705882352943</v>
      </c>
    </row>
    <row r="6" spans="1:4" x14ac:dyDescent="0.2">
      <c r="A6" t="s">
        <v>13</v>
      </c>
      <c r="B6" s="18">
        <v>4.0599999999999996</v>
      </c>
      <c r="C6" s="19">
        <v>10.5</v>
      </c>
      <c r="D6" s="20">
        <f t="shared" si="0"/>
        <v>0.3866666666666666</v>
      </c>
    </row>
    <row r="7" spans="1:4" x14ac:dyDescent="0.2">
      <c r="A7" t="s">
        <v>14</v>
      </c>
      <c r="B7" s="18">
        <v>3.78</v>
      </c>
      <c r="C7" s="19">
        <v>9.5</v>
      </c>
      <c r="D7" s="20">
        <f t="shared" si="0"/>
        <v>0.39789473684210525</v>
      </c>
    </row>
    <row r="8" spans="1:4" x14ac:dyDescent="0.2">
      <c r="A8" t="s">
        <v>20</v>
      </c>
      <c r="B8" s="18">
        <v>3.98</v>
      </c>
      <c r="C8" s="19">
        <v>9.5</v>
      </c>
      <c r="D8" s="20">
        <f t="shared" si="0"/>
        <v>0.41894736842105262</v>
      </c>
    </row>
    <row r="9" spans="1:4" x14ac:dyDescent="0.2">
      <c r="A9" t="s">
        <v>29</v>
      </c>
      <c r="B9" s="18">
        <v>4.05</v>
      </c>
      <c r="C9" s="19">
        <v>10.5</v>
      </c>
      <c r="D9" s="20">
        <f t="shared" si="0"/>
        <v>0.38571428571428568</v>
      </c>
    </row>
    <row r="10" spans="1:4" x14ac:dyDescent="0.2">
      <c r="A10" t="s">
        <v>24</v>
      </c>
      <c r="B10" s="18">
        <v>3.46</v>
      </c>
      <c r="C10" s="19">
        <v>8.5</v>
      </c>
      <c r="D10" s="20">
        <f t="shared" si="0"/>
        <v>0.40705882352941175</v>
      </c>
    </row>
    <row r="11" spans="1:4" x14ac:dyDescent="0.2">
      <c r="A11" t="s">
        <v>22</v>
      </c>
      <c r="B11" s="18">
        <v>3.12</v>
      </c>
      <c r="C11" s="19">
        <v>8.5</v>
      </c>
      <c r="D11" s="20">
        <f t="shared" si="0"/>
        <v>0.36705882352941177</v>
      </c>
    </row>
    <row r="12" spans="1:4" x14ac:dyDescent="0.2">
      <c r="A12" t="s">
        <v>25</v>
      </c>
      <c r="B12" s="18">
        <v>3.56</v>
      </c>
      <c r="C12" s="19">
        <v>9</v>
      </c>
      <c r="D12" s="20">
        <f t="shared" si="0"/>
        <v>0.39555555555555555</v>
      </c>
    </row>
    <row r="13" spans="1:4" x14ac:dyDescent="0.2">
      <c r="A13" t="s">
        <v>30</v>
      </c>
      <c r="B13" s="18">
        <v>3.24</v>
      </c>
      <c r="C13" s="19">
        <v>9</v>
      </c>
      <c r="D13" s="20">
        <f t="shared" si="0"/>
        <v>0.36000000000000004</v>
      </c>
    </row>
    <row r="15" spans="1:4" x14ac:dyDescent="0.2">
      <c r="C15" s="11" t="s">
        <v>48</v>
      </c>
      <c r="D15" s="17">
        <f>AVERAGE(D4:D13)</f>
        <v>0.38236021426114308</v>
      </c>
    </row>
    <row r="16" spans="1:4" x14ac:dyDescent="0.2">
      <c r="C16" s="11" t="s">
        <v>49</v>
      </c>
      <c r="D16" s="17">
        <f>MIN(D4:D13)</f>
        <v>0.34705882352941181</v>
      </c>
    </row>
    <row r="17" spans="3:4" x14ac:dyDescent="0.2">
      <c r="C17" s="11" t="s">
        <v>50</v>
      </c>
      <c r="D17" s="17">
        <f>MAX(D4:D13)</f>
        <v>0.41894736842105262</v>
      </c>
    </row>
  </sheetData>
  <mergeCells count="2">
    <mergeCell ref="A1:D1"/>
    <mergeCell ref="A2:D2"/>
  </mergeCells>
  <pageMargins left="1.95" right="0.7" top="2" bottom="0.75" header="0.3" footer="0.3"/>
  <pageSetup orientation="portrait" horizontalDpi="0" verticalDpi="0"/>
  <headerFooter alignWithMargins="0">
    <oddHeader>&amp;C&amp;G</oddHead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view="pageLayout" zoomScaleNormal="100" workbookViewId="0">
      <selection activeCell="A19" sqref="A19"/>
    </sheetView>
  </sheetViews>
  <sheetFormatPr baseColWidth="10" defaultColWidth="8.83203125" defaultRowHeight="15" x14ac:dyDescent="0.2"/>
  <cols>
    <col min="1" max="1" width="17.6640625" customWidth="1"/>
    <col min="2" max="2" width="9.1640625" customWidth="1"/>
    <col min="3" max="3" width="25.6640625" customWidth="1"/>
    <col min="4" max="4" width="11.33203125" customWidth="1"/>
  </cols>
  <sheetData>
    <row r="1" spans="1:4" ht="23" x14ac:dyDescent="0.2">
      <c r="A1" s="12" t="s">
        <v>36</v>
      </c>
      <c r="B1" s="12"/>
      <c r="C1" s="12"/>
      <c r="D1" s="12"/>
    </row>
    <row r="2" spans="1:4" ht="18" x14ac:dyDescent="0.2">
      <c r="A2" s="13" t="s">
        <v>31</v>
      </c>
      <c r="B2" s="13"/>
      <c r="C2" s="13"/>
      <c r="D2" s="13"/>
    </row>
    <row r="3" spans="1:4" ht="30.75" customHeight="1" x14ac:dyDescent="0.2">
      <c r="A3" s="14" t="s">
        <v>37</v>
      </c>
      <c r="B3" s="16" t="s">
        <v>32</v>
      </c>
      <c r="C3" s="16" t="s">
        <v>33</v>
      </c>
      <c r="D3" s="16" t="s">
        <v>34</v>
      </c>
    </row>
    <row r="4" spans="1:4" x14ac:dyDescent="0.2">
      <c r="A4" t="s">
        <v>15</v>
      </c>
      <c r="B4" s="18">
        <v>3.03</v>
      </c>
      <c r="C4" s="19">
        <v>8.5</v>
      </c>
      <c r="D4" s="20">
        <f>B4/C4</f>
        <v>0.35647058823529409</v>
      </c>
    </row>
    <row r="5" spans="1:4" x14ac:dyDescent="0.2">
      <c r="A5" t="s">
        <v>16</v>
      </c>
      <c r="B5" s="18">
        <v>3.75</v>
      </c>
      <c r="C5" s="19">
        <v>9</v>
      </c>
      <c r="D5" s="20">
        <f t="shared" ref="D5:D13" si="0">B5/C5</f>
        <v>0.41666666666666669</v>
      </c>
    </row>
    <row r="6" spans="1:4" x14ac:dyDescent="0.2">
      <c r="A6" t="s">
        <v>17</v>
      </c>
      <c r="B6" s="18">
        <v>2.5</v>
      </c>
      <c r="C6" s="19">
        <v>8</v>
      </c>
      <c r="D6" s="20">
        <f t="shared" si="0"/>
        <v>0.3125</v>
      </c>
    </row>
    <row r="7" spans="1:4" x14ac:dyDescent="0.2">
      <c r="A7" t="s">
        <v>27</v>
      </c>
      <c r="B7" s="18">
        <v>2.48</v>
      </c>
      <c r="C7" s="19">
        <v>8</v>
      </c>
      <c r="D7" s="20">
        <f t="shared" si="0"/>
        <v>0.31</v>
      </c>
    </row>
    <row r="8" spans="1:4" x14ac:dyDescent="0.2">
      <c r="A8" t="s">
        <v>18</v>
      </c>
      <c r="B8" s="18">
        <v>4.3600000000000003</v>
      </c>
      <c r="C8" s="19">
        <v>9.5</v>
      </c>
      <c r="D8" s="20">
        <f t="shared" si="0"/>
        <v>0.45894736842105266</v>
      </c>
    </row>
    <row r="9" spans="1:4" x14ac:dyDescent="0.2">
      <c r="A9" t="s">
        <v>19</v>
      </c>
      <c r="B9" s="18">
        <v>5.03</v>
      </c>
      <c r="C9" s="19">
        <v>10.5</v>
      </c>
      <c r="D9" s="20">
        <f t="shared" si="0"/>
        <v>0.47904761904761906</v>
      </c>
    </row>
    <row r="10" spans="1:4" x14ac:dyDescent="0.2">
      <c r="A10" t="s">
        <v>28</v>
      </c>
      <c r="B10" s="18">
        <v>3.46</v>
      </c>
      <c r="C10" s="19">
        <v>9</v>
      </c>
      <c r="D10" s="20">
        <f t="shared" si="0"/>
        <v>0.38444444444444442</v>
      </c>
    </row>
    <row r="11" spans="1:4" x14ac:dyDescent="0.2">
      <c r="A11" t="s">
        <v>26</v>
      </c>
      <c r="B11" s="18">
        <v>3.49</v>
      </c>
      <c r="C11" s="19">
        <v>8.5</v>
      </c>
      <c r="D11" s="20">
        <f t="shared" si="0"/>
        <v>0.4105882352941177</v>
      </c>
    </row>
    <row r="12" spans="1:4" x14ac:dyDescent="0.2">
      <c r="A12" t="s">
        <v>21</v>
      </c>
      <c r="B12" s="18">
        <v>2.97</v>
      </c>
      <c r="C12" s="19">
        <v>8.5</v>
      </c>
      <c r="D12" s="20">
        <f t="shared" si="0"/>
        <v>0.34941176470588237</v>
      </c>
    </row>
    <row r="13" spans="1:4" x14ac:dyDescent="0.2">
      <c r="A13" t="s">
        <v>23</v>
      </c>
      <c r="B13" s="18">
        <v>3.52</v>
      </c>
      <c r="C13" s="19">
        <v>9.5</v>
      </c>
      <c r="D13" s="20">
        <f t="shared" si="0"/>
        <v>0.3705263157894737</v>
      </c>
    </row>
    <row r="15" spans="1:4" x14ac:dyDescent="0.2">
      <c r="C15" s="11" t="s">
        <v>48</v>
      </c>
      <c r="D15" s="17">
        <f>AVERAGE(D4:D13)</f>
        <v>0.38486030026045509</v>
      </c>
    </row>
    <row r="16" spans="1:4" x14ac:dyDescent="0.2">
      <c r="C16" s="11" t="s">
        <v>49</v>
      </c>
      <c r="D16" s="17">
        <f>MIN(D4:D13)</f>
        <v>0.31</v>
      </c>
    </row>
    <row r="17" spans="3:4" x14ac:dyDescent="0.2">
      <c r="C17" s="11" t="s">
        <v>50</v>
      </c>
      <c r="D17" s="17">
        <f>MAX(D4:D13)</f>
        <v>0.47904761904761906</v>
      </c>
    </row>
  </sheetData>
  <mergeCells count="2">
    <mergeCell ref="A1:D1"/>
    <mergeCell ref="A2:D2"/>
  </mergeCells>
  <pageMargins left="1.95" right="0.7" top="2" bottom="0.75" header="0.3" footer="0.3"/>
  <pageSetup orientation="portrait" horizontalDpi="300" verticalDpi="300" r:id="rId1"/>
  <headerFooter alignWithMargins="0">
    <oddHeader>&amp;C&amp;G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>
      <selection activeCell="H13" sqref="H13"/>
    </sheetView>
  </sheetViews>
  <sheetFormatPr baseColWidth="10" defaultColWidth="8.83203125" defaultRowHeight="15" x14ac:dyDescent="0.2"/>
  <cols>
    <col min="1" max="4" width="23.83203125" customWidth="1"/>
  </cols>
  <sheetData>
    <row r="1" spans="1:4" ht="20" x14ac:dyDescent="0.2">
      <c r="A1" s="22" t="s">
        <v>36</v>
      </c>
      <c r="B1" s="22"/>
      <c r="C1" s="22"/>
      <c r="D1" s="22"/>
    </row>
    <row r="2" spans="1:4" s="8" customFormat="1" ht="40" customHeight="1" x14ac:dyDescent="0.2">
      <c r="A2" s="23" t="s">
        <v>38</v>
      </c>
      <c r="B2" s="23" t="s">
        <v>47</v>
      </c>
      <c r="C2" s="23" t="s">
        <v>45</v>
      </c>
      <c r="D2" s="23" t="s">
        <v>46</v>
      </c>
    </row>
    <row r="3" spans="1:4" x14ac:dyDescent="0.2">
      <c r="A3" s="24" t="s">
        <v>39</v>
      </c>
      <c r="B3" s="25">
        <f>Sandwiches!D15</f>
        <v>0.41358761093420915</v>
      </c>
      <c r="C3" s="25">
        <f>Sandwiches!D16</f>
        <v>0.32105263157894737</v>
      </c>
      <c r="D3" s="25">
        <f>Sandwiches!D17</f>
        <v>0.49658536585365853</v>
      </c>
    </row>
    <row r="4" spans="1:4" x14ac:dyDescent="0.2">
      <c r="A4" s="26" t="s">
        <v>40</v>
      </c>
      <c r="B4" s="27">
        <f>Wraps!D15</f>
        <v>0.38236021426114308</v>
      </c>
      <c r="C4" s="27">
        <f>Wraps!D16</f>
        <v>0.34705882352941181</v>
      </c>
      <c r="D4" s="27">
        <f>Wraps!D17</f>
        <v>0.41894736842105262</v>
      </c>
    </row>
    <row r="5" spans="1:4" x14ac:dyDescent="0.2">
      <c r="A5" s="28" t="s">
        <v>41</v>
      </c>
      <c r="B5" s="29">
        <f>Salads!D15</f>
        <v>0.38486030026045509</v>
      </c>
      <c r="C5" s="29">
        <f>Salads!D16</f>
        <v>0.31</v>
      </c>
      <c r="D5" s="29">
        <f>Salads!D17</f>
        <v>0.47904761904761906</v>
      </c>
    </row>
    <row r="7" spans="1:4" x14ac:dyDescent="0.2">
      <c r="B7" s="21" t="s">
        <v>52</v>
      </c>
      <c r="C7" s="21" t="s">
        <v>53</v>
      </c>
      <c r="D7" s="21" t="s">
        <v>54</v>
      </c>
    </row>
    <row r="8" spans="1:4" x14ac:dyDescent="0.2">
      <c r="B8" s="21"/>
    </row>
    <row r="9" spans="1:4" x14ac:dyDescent="0.2">
      <c r="B9" s="21"/>
    </row>
  </sheetData>
  <mergeCells count="1">
    <mergeCell ref="A1:D1"/>
  </mergeCells>
  <pageMargins left="0.7" right="0.7" top="0.75" bottom="0.75" header="0.3" footer="0.3"/>
  <pageSetup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0"/>
  <sheetViews>
    <sheetView tabSelected="1" workbookViewId="0">
      <selection activeCell="G18" sqref="G18"/>
    </sheetView>
  </sheetViews>
  <sheetFormatPr baseColWidth="10" defaultColWidth="8.83203125" defaultRowHeight="15" x14ac:dyDescent="0.2"/>
  <cols>
    <col min="1" max="1" width="23.6640625" customWidth="1"/>
    <col min="2" max="2" width="9.83203125" customWidth="1"/>
    <col min="3" max="3" width="9.33203125" customWidth="1"/>
    <col min="4" max="4" width="12.1640625" customWidth="1"/>
    <col min="5" max="5" width="9.33203125" customWidth="1"/>
    <col min="6" max="6" width="12.5" customWidth="1"/>
    <col min="7" max="7" width="9.33203125" customWidth="1"/>
    <col min="8" max="8" width="12.1640625" customWidth="1"/>
    <col min="9" max="9" width="9.33203125" customWidth="1"/>
    <col min="10" max="10" width="12.1640625" customWidth="1"/>
  </cols>
  <sheetData>
    <row r="1" spans="1:10" ht="18" x14ac:dyDescent="0.2">
      <c r="A1" s="30" t="s">
        <v>42</v>
      </c>
      <c r="B1" s="30"/>
      <c r="C1" s="30"/>
      <c r="D1" s="30"/>
      <c r="E1" s="30"/>
      <c r="F1" s="30"/>
      <c r="G1" s="30"/>
      <c r="H1" s="30"/>
      <c r="I1" s="30"/>
      <c r="J1" s="30"/>
    </row>
    <row r="2" spans="1:10" ht="16" thickBot="1" x14ac:dyDescent="0.25">
      <c r="A2" s="31" t="s">
        <v>0</v>
      </c>
      <c r="B2" s="31"/>
      <c r="C2" s="31"/>
      <c r="D2" s="31"/>
      <c r="E2" s="37"/>
      <c r="F2" s="37"/>
      <c r="G2" s="37"/>
      <c r="H2" s="37"/>
      <c r="I2" s="37"/>
      <c r="J2" s="37"/>
    </row>
    <row r="3" spans="1:10" ht="21" x14ac:dyDescent="0.3">
      <c r="A3" s="33" t="s">
        <v>51</v>
      </c>
      <c r="B3" s="32"/>
      <c r="C3" s="32"/>
      <c r="D3" s="34"/>
      <c r="E3" s="38">
        <v>0.03</v>
      </c>
      <c r="F3" s="39"/>
      <c r="G3" s="46">
        <v>0.05</v>
      </c>
      <c r="H3" s="47"/>
      <c r="I3" s="54">
        <v>7.0000000000000007E-2</v>
      </c>
      <c r="J3" s="55"/>
    </row>
    <row r="4" spans="1:10" ht="34" x14ac:dyDescent="0.2">
      <c r="A4" s="10" t="s">
        <v>37</v>
      </c>
      <c r="B4" s="10" t="s">
        <v>32</v>
      </c>
      <c r="C4" s="10" t="s">
        <v>33</v>
      </c>
      <c r="D4" s="35" t="s">
        <v>34</v>
      </c>
      <c r="E4" s="40" t="s">
        <v>33</v>
      </c>
      <c r="F4" s="41" t="s">
        <v>34</v>
      </c>
      <c r="G4" s="48" t="s">
        <v>43</v>
      </c>
      <c r="H4" s="49" t="s">
        <v>34</v>
      </c>
      <c r="I4" s="56" t="s">
        <v>33</v>
      </c>
      <c r="J4" s="57" t="s">
        <v>34</v>
      </c>
    </row>
    <row r="5" spans="1:10" x14ac:dyDescent="0.2">
      <c r="A5" s="9" t="s">
        <v>1</v>
      </c>
      <c r="B5" s="5">
        <v>4.55</v>
      </c>
      <c r="C5" s="5">
        <v>11</v>
      </c>
      <c r="D5" s="36">
        <f>B5/C5</f>
        <v>0.41363636363636364</v>
      </c>
      <c r="E5" s="42">
        <f>B5/D5</f>
        <v>11</v>
      </c>
      <c r="F5" s="43">
        <f>B5/E5</f>
        <v>0.41363636363636364</v>
      </c>
      <c r="G5" s="50">
        <f>C5*1.05</f>
        <v>11.55</v>
      </c>
      <c r="H5" s="51">
        <f>D5*1.05</f>
        <v>0.43431818181818183</v>
      </c>
      <c r="I5" s="58">
        <f>C5*1.07</f>
        <v>11.770000000000001</v>
      </c>
      <c r="J5" s="59">
        <f>D5*1.07</f>
        <v>0.44259090909090909</v>
      </c>
    </row>
    <row r="6" spans="1:10" x14ac:dyDescent="0.2">
      <c r="A6" s="9" t="s">
        <v>2</v>
      </c>
      <c r="B6" s="5">
        <v>3.05</v>
      </c>
      <c r="C6" s="5">
        <v>9.5</v>
      </c>
      <c r="D6" s="36">
        <f t="shared" ref="D6:D14" si="0">B6/C6</f>
        <v>0.32105263157894737</v>
      </c>
      <c r="E6" s="42">
        <f t="shared" ref="E6:E14" si="1">B6/D6</f>
        <v>9.5</v>
      </c>
      <c r="F6" s="43">
        <f t="shared" ref="F6:F13" si="2">B6/E6</f>
        <v>0.32105263157894737</v>
      </c>
      <c r="G6" s="50">
        <f t="shared" ref="G6:G14" si="3">C6*1.05</f>
        <v>9.9749999999999996</v>
      </c>
      <c r="H6" s="51">
        <f t="shared" ref="H6:H14" si="4">D6*1.05</f>
        <v>0.33710526315789474</v>
      </c>
      <c r="I6" s="58">
        <f t="shared" ref="I6:I14" si="5">C6*1.07</f>
        <v>10.165000000000001</v>
      </c>
      <c r="J6" s="59">
        <f t="shared" ref="J6:J14" si="6">D6*1.07</f>
        <v>0.34352631578947368</v>
      </c>
    </row>
    <row r="7" spans="1:10" x14ac:dyDescent="0.2">
      <c r="A7" s="9" t="s">
        <v>3</v>
      </c>
      <c r="B7" s="5">
        <v>3.9</v>
      </c>
      <c r="C7" s="5">
        <v>10.25</v>
      </c>
      <c r="D7" s="36">
        <f t="shared" si="0"/>
        <v>0.38048780487804879</v>
      </c>
      <c r="E7" s="42">
        <f t="shared" si="1"/>
        <v>10.25</v>
      </c>
      <c r="F7" s="43">
        <f t="shared" si="2"/>
        <v>0.38048780487804879</v>
      </c>
      <c r="G7" s="50">
        <f t="shared" si="3"/>
        <v>10.762500000000001</v>
      </c>
      <c r="H7" s="51">
        <f t="shared" si="4"/>
        <v>0.39951219512195124</v>
      </c>
      <c r="I7" s="58">
        <f t="shared" si="5"/>
        <v>10.967500000000001</v>
      </c>
      <c r="J7" s="59">
        <f t="shared" si="6"/>
        <v>0.40712195121951222</v>
      </c>
    </row>
    <row r="8" spans="1:10" x14ac:dyDescent="0.2">
      <c r="A8" s="9" t="s">
        <v>4</v>
      </c>
      <c r="B8" s="5">
        <v>3.5</v>
      </c>
      <c r="C8" s="5">
        <v>9.5</v>
      </c>
      <c r="D8" s="36">
        <f t="shared" si="0"/>
        <v>0.36842105263157893</v>
      </c>
      <c r="E8" s="42">
        <f t="shared" si="1"/>
        <v>9.5</v>
      </c>
      <c r="F8" s="43">
        <f t="shared" si="2"/>
        <v>0.36842105263157893</v>
      </c>
      <c r="G8" s="50">
        <f t="shared" si="3"/>
        <v>9.9749999999999996</v>
      </c>
      <c r="H8" s="51">
        <f t="shared" si="4"/>
        <v>0.38684210526315788</v>
      </c>
      <c r="I8" s="58">
        <f t="shared" si="5"/>
        <v>10.165000000000001</v>
      </c>
      <c r="J8" s="59">
        <f t="shared" si="6"/>
        <v>0.39421052631578946</v>
      </c>
    </row>
    <row r="9" spans="1:10" x14ac:dyDescent="0.2">
      <c r="A9" s="9" t="s">
        <v>5</v>
      </c>
      <c r="B9" s="5">
        <v>3.47</v>
      </c>
      <c r="C9" s="5">
        <v>9.5</v>
      </c>
      <c r="D9" s="36">
        <f t="shared" si="0"/>
        <v>0.36526315789473685</v>
      </c>
      <c r="E9" s="42">
        <f t="shared" si="1"/>
        <v>9.5</v>
      </c>
      <c r="F9" s="43">
        <f t="shared" si="2"/>
        <v>0.36526315789473685</v>
      </c>
      <c r="G9" s="50">
        <f t="shared" si="3"/>
        <v>9.9749999999999996</v>
      </c>
      <c r="H9" s="51">
        <f t="shared" si="4"/>
        <v>0.38352631578947372</v>
      </c>
      <c r="I9" s="58">
        <f t="shared" si="5"/>
        <v>10.165000000000001</v>
      </c>
      <c r="J9" s="59">
        <f t="shared" si="6"/>
        <v>0.39083157894736847</v>
      </c>
    </row>
    <row r="10" spans="1:10" x14ac:dyDescent="0.2">
      <c r="A10" s="9" t="s">
        <v>6</v>
      </c>
      <c r="B10" s="5">
        <v>5.09</v>
      </c>
      <c r="C10" s="5">
        <v>12.5</v>
      </c>
      <c r="D10" s="36">
        <f t="shared" si="0"/>
        <v>0.40720000000000001</v>
      </c>
      <c r="E10" s="42">
        <f t="shared" si="1"/>
        <v>12.5</v>
      </c>
      <c r="F10" s="43">
        <f t="shared" si="2"/>
        <v>0.40720000000000001</v>
      </c>
      <c r="G10" s="50">
        <f t="shared" si="3"/>
        <v>13.125</v>
      </c>
      <c r="H10" s="51">
        <f t="shared" si="4"/>
        <v>0.42756000000000005</v>
      </c>
      <c r="I10" s="58">
        <f t="shared" si="5"/>
        <v>13.375</v>
      </c>
      <c r="J10" s="59">
        <f t="shared" si="6"/>
        <v>0.43570400000000004</v>
      </c>
    </row>
    <row r="11" spans="1:10" x14ac:dyDescent="0.2">
      <c r="A11" s="9" t="s">
        <v>7</v>
      </c>
      <c r="B11" s="5">
        <v>4.9000000000000004</v>
      </c>
      <c r="C11" s="5">
        <v>10.25</v>
      </c>
      <c r="D11" s="36">
        <f t="shared" si="0"/>
        <v>0.47804878048780491</v>
      </c>
      <c r="E11" s="42">
        <f t="shared" si="1"/>
        <v>10.25</v>
      </c>
      <c r="F11" s="43">
        <f t="shared" si="2"/>
        <v>0.47804878048780491</v>
      </c>
      <c r="G11" s="50">
        <f t="shared" si="3"/>
        <v>10.762500000000001</v>
      </c>
      <c r="H11" s="51">
        <f t="shared" si="4"/>
        <v>0.50195121951219523</v>
      </c>
      <c r="I11" s="58">
        <f t="shared" si="5"/>
        <v>10.967500000000001</v>
      </c>
      <c r="J11" s="59">
        <f t="shared" si="6"/>
        <v>0.51151219512195134</v>
      </c>
    </row>
    <row r="12" spans="1:10" x14ac:dyDescent="0.2">
      <c r="A12" s="9" t="s">
        <v>8</v>
      </c>
      <c r="B12" s="5">
        <v>3.84</v>
      </c>
      <c r="C12" s="5">
        <v>9.5</v>
      </c>
      <c r="D12" s="36">
        <f t="shared" si="0"/>
        <v>0.40421052631578946</v>
      </c>
      <c r="E12" s="42">
        <f t="shared" si="1"/>
        <v>9.5</v>
      </c>
      <c r="F12" s="43">
        <f t="shared" si="2"/>
        <v>0.40421052631578946</v>
      </c>
      <c r="G12" s="50">
        <f t="shared" si="3"/>
        <v>9.9749999999999996</v>
      </c>
      <c r="H12" s="51">
        <f t="shared" si="4"/>
        <v>0.42442105263157898</v>
      </c>
      <c r="I12" s="58">
        <f t="shared" si="5"/>
        <v>10.165000000000001</v>
      </c>
      <c r="J12" s="59">
        <f t="shared" si="6"/>
        <v>0.43250526315789473</v>
      </c>
    </row>
    <row r="13" spans="1:10" x14ac:dyDescent="0.2">
      <c r="A13" s="9" t="s">
        <v>9</v>
      </c>
      <c r="B13" s="5">
        <v>5.17</v>
      </c>
      <c r="C13" s="5">
        <v>12.5</v>
      </c>
      <c r="D13" s="36">
        <f t="shared" si="0"/>
        <v>0.41359999999999997</v>
      </c>
      <c r="E13" s="42">
        <f t="shared" si="1"/>
        <v>12.5</v>
      </c>
      <c r="F13" s="43">
        <f t="shared" si="2"/>
        <v>0.41359999999999997</v>
      </c>
      <c r="G13" s="50">
        <f t="shared" si="3"/>
        <v>13.125</v>
      </c>
      <c r="H13" s="51">
        <f t="shared" si="4"/>
        <v>0.43428</v>
      </c>
      <c r="I13" s="58">
        <f t="shared" si="5"/>
        <v>13.375</v>
      </c>
      <c r="J13" s="59">
        <f t="shared" si="6"/>
        <v>0.442552</v>
      </c>
    </row>
    <row r="14" spans="1:10" ht="16" thickBot="1" x14ac:dyDescent="0.25">
      <c r="A14" s="9" t="s">
        <v>20</v>
      </c>
      <c r="B14" s="5">
        <v>3.95</v>
      </c>
      <c r="C14" s="5">
        <v>9.5</v>
      </c>
      <c r="D14" s="36">
        <f t="shared" si="0"/>
        <v>0.41578947368421054</v>
      </c>
      <c r="E14" s="44">
        <f t="shared" si="1"/>
        <v>9.5</v>
      </c>
      <c r="F14" s="45">
        <f>B14/E14</f>
        <v>0.41578947368421054</v>
      </c>
      <c r="G14" s="52">
        <f t="shared" si="3"/>
        <v>9.9749999999999996</v>
      </c>
      <c r="H14" s="53">
        <f t="shared" si="4"/>
        <v>0.43657894736842107</v>
      </c>
      <c r="I14" s="60">
        <f t="shared" si="5"/>
        <v>10.165000000000001</v>
      </c>
      <c r="J14" s="61">
        <f t="shared" si="6"/>
        <v>0.44489473684210529</v>
      </c>
    </row>
    <row r="16" spans="1:10" ht="16" thickBot="1" x14ac:dyDescent="0.25">
      <c r="A16" t="s">
        <v>44</v>
      </c>
      <c r="B16" s="6"/>
      <c r="C16" s="6"/>
      <c r="D16" s="2">
        <f>AVERAGE(D5:D14)</f>
        <v>0.39677097911074805</v>
      </c>
      <c r="F16" s="62">
        <f>AVERAGE(F5:F14)</f>
        <v>0.39677097911074805</v>
      </c>
      <c r="H16" s="63">
        <f>AVERAGE(H5:H14)</f>
        <v>0.41660952806628543</v>
      </c>
      <c r="J16" s="62">
        <f>AVERAGE(J5:J14)</f>
        <v>0.42454494764850043</v>
      </c>
    </row>
    <row r="17" spans="1:9" ht="16" thickTop="1" x14ac:dyDescent="0.2">
      <c r="A17" s="3"/>
      <c r="B17" s="3"/>
      <c r="C17" s="3"/>
      <c r="D17" s="4"/>
    </row>
    <row r="22" spans="1:9" ht="17.25" customHeight="1" x14ac:dyDescent="0.2"/>
    <row r="24" spans="1:9" x14ac:dyDescent="0.2">
      <c r="I24" s="7"/>
    </row>
    <row r="25" spans="1:9" x14ac:dyDescent="0.2">
      <c r="I25" s="7"/>
    </row>
    <row r="26" spans="1:9" x14ac:dyDescent="0.2">
      <c r="I26" s="7"/>
    </row>
    <row r="27" spans="1:9" x14ac:dyDescent="0.2">
      <c r="I27" s="7"/>
    </row>
    <row r="28" spans="1:9" x14ac:dyDescent="0.2">
      <c r="I28" s="7"/>
    </row>
    <row r="30" spans="1:9" s="1" customFormat="1" x14ac:dyDescent="0.2">
      <c r="A30"/>
      <c r="B30"/>
      <c r="C30"/>
      <c r="D30"/>
      <c r="E30"/>
      <c r="F30"/>
    </row>
  </sheetData>
  <mergeCells count="6">
    <mergeCell ref="A3:D3"/>
    <mergeCell ref="E3:F3"/>
    <mergeCell ref="G3:H3"/>
    <mergeCell ref="I3:J3"/>
    <mergeCell ref="A1:J1"/>
    <mergeCell ref="A2:J2"/>
  </mergeCells>
  <pageMargins left="0.7" right="0.7" top="2" bottom="0.75" header="0.3" footer="0.3"/>
  <pageSetup orientation="landscape" horizontalDpi="300" verticalDpi="300" r:id="rId1"/>
  <headerFooter>
    <oddHeader>&amp;C&amp;G</oddHeader>
    <oddFooter>&amp;LQuick Parts Code for File Name&amp;RCode for Current Date, Current Time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Sandwiches</vt:lpstr>
      <vt:lpstr>Wraps</vt:lpstr>
      <vt:lpstr>Salads</vt:lpstr>
      <vt:lpstr>Summary</vt:lpstr>
      <vt:lpstr>What 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Assignment 16 Fall 2025 Download File</dc:title>
  <dc:creator>Nancy Meiklejohn</dc:creator>
  <cp:lastModifiedBy>Bri Boucher</cp:lastModifiedBy>
  <dcterms:created xsi:type="dcterms:W3CDTF">2009-07-02T15:23:07Z</dcterms:created>
  <dcterms:modified xsi:type="dcterms:W3CDTF">2025-11-19T21:57:48Z</dcterms:modified>
</cp:coreProperties>
</file>
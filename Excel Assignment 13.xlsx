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/Users/ItzzT/Library/Mobile Documents/com~apple~CloudDocs/Homework Assignments/"/>
    </mc:Choice>
  </mc:AlternateContent>
  <xr:revisionPtr revIDLastSave="0" documentId="8_{F4A3AB65-A58C-2C49-89AE-C1959DBE8BE6}" xr6:coauthVersionLast="47" xr6:coauthVersionMax="47" xr10:uidLastSave="{00000000-0000-0000-0000-000000000000}"/>
  <bookViews>
    <workbookView xWindow="3520" yWindow="3520" windowWidth="21600" windowHeight="11300" activeTab="2" xr2:uid="{00000000-000D-0000-FFFF-FFFF00000000}"/>
  </bookViews>
  <sheets>
    <sheet name="Inventory" sheetId="1" r:id="rId1"/>
    <sheet name="Suppliers" sheetId="2" r:id="rId2"/>
    <sheet name="Inventory Summary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4" l="1"/>
  <c r="C4" i="4"/>
  <c r="C5" i="4"/>
  <c r="C6" i="4"/>
  <c r="C7" i="4"/>
  <c r="C8" i="4"/>
  <c r="C9" i="4"/>
  <c r="J38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H38" i="1"/>
  <c r="I38" i="1" s="1"/>
  <c r="G38" i="1"/>
  <c r="E38" i="1"/>
</calcChain>
</file>

<file path=xl/sharedStrings.xml><?xml version="1.0" encoding="utf-8"?>
<sst xmlns="http://schemas.openxmlformats.org/spreadsheetml/2006/main" count="202" uniqueCount="127">
  <si>
    <t>SKU</t>
  </si>
  <si>
    <t>Description</t>
  </si>
  <si>
    <t>Department</t>
  </si>
  <si>
    <t>Supplier ID</t>
  </si>
  <si>
    <t>Wholesale Price</t>
  </si>
  <si>
    <t>Quantity in Stock</t>
  </si>
  <si>
    <t>Minimum Quantity</t>
  </si>
  <si>
    <t>BH002</t>
  </si>
  <si>
    <t>Drill, corded</t>
  </si>
  <si>
    <t>Power tools</t>
  </si>
  <si>
    <t>BH</t>
  </si>
  <si>
    <t>BH0020</t>
  </si>
  <si>
    <t>Blades, copping saw</t>
  </si>
  <si>
    <t>Hand tools</t>
  </si>
  <si>
    <t>BH0025</t>
  </si>
  <si>
    <t>Blades, hacksaw</t>
  </si>
  <si>
    <t>BH0010</t>
  </si>
  <si>
    <t>Axe, single headed</t>
  </si>
  <si>
    <t>BH0011</t>
  </si>
  <si>
    <t>Axe, wedge</t>
  </si>
  <si>
    <t>BH0015</t>
  </si>
  <si>
    <t>Axe head repair kit</t>
  </si>
  <si>
    <t>CSC0017</t>
  </si>
  <si>
    <t>Measuring tape, 120'</t>
  </si>
  <si>
    <t>Measuring</t>
  </si>
  <si>
    <t>CSC</t>
  </si>
  <si>
    <t>CSC0045</t>
  </si>
  <si>
    <t>Blades, circular saw</t>
  </si>
  <si>
    <t>CSC0046</t>
  </si>
  <si>
    <t>Measuring tape, 60'</t>
  </si>
  <si>
    <t>CSC0050</t>
  </si>
  <si>
    <t>Clamps, quick release</t>
  </si>
  <si>
    <t>CSC0330</t>
  </si>
  <si>
    <t>Saw, handsaw</t>
  </si>
  <si>
    <t>FT00001</t>
  </si>
  <si>
    <t>Axe, double headed</t>
  </si>
  <si>
    <t>FT</t>
  </si>
  <si>
    <t>FT00002</t>
  </si>
  <si>
    <t>Axe, fiberglass</t>
  </si>
  <si>
    <t>FT00040</t>
  </si>
  <si>
    <t>Blades, jigsaw</t>
  </si>
  <si>
    <t>FT00080</t>
  </si>
  <si>
    <t>Drill, rechargeable 18 volt</t>
  </si>
  <si>
    <t>FT00250</t>
  </si>
  <si>
    <t>Measuring tape, 25'</t>
  </si>
  <si>
    <t>FT00400</t>
  </si>
  <si>
    <t>Measuring tape, 12'</t>
  </si>
  <si>
    <t>HSUSA00300</t>
  </si>
  <si>
    <t>Saw, hacksaw</t>
  </si>
  <si>
    <t>HSUSA</t>
  </si>
  <si>
    <t>HSUSA0099</t>
  </si>
  <si>
    <t>Extension cord, 25'</t>
  </si>
  <si>
    <t>Electrical</t>
  </si>
  <si>
    <t>HSUSA0100</t>
  </si>
  <si>
    <t>Extension cord, 100'</t>
  </si>
  <si>
    <t>HSUSA01000</t>
  </si>
  <si>
    <t>Extension cord, 50'</t>
  </si>
  <si>
    <t>HSUSA019</t>
  </si>
  <si>
    <t>Saw, drywall</t>
  </si>
  <si>
    <t>HSUSA027</t>
  </si>
  <si>
    <t>Saw, coping</t>
  </si>
  <si>
    <t>HSUSA0400</t>
  </si>
  <si>
    <t>Hatchet</t>
  </si>
  <si>
    <t>TT00100</t>
  </si>
  <si>
    <t>Hammer, ball-ping</t>
  </si>
  <si>
    <t>TT</t>
  </si>
  <si>
    <t>TT00200</t>
  </si>
  <si>
    <t>Hammer, wooden handle</t>
  </si>
  <si>
    <t>TT0300</t>
  </si>
  <si>
    <t>Saw, circular</t>
  </si>
  <si>
    <t>TT073</t>
  </si>
  <si>
    <t>Saw, jig</t>
  </si>
  <si>
    <t>BH00378</t>
  </si>
  <si>
    <t>Screwdriver, 5pc set</t>
  </si>
  <si>
    <t>BH004000</t>
  </si>
  <si>
    <t>Screwdriver, Phillips</t>
  </si>
  <si>
    <t>Gorilla Hardware</t>
  </si>
  <si>
    <t>Inventory Table</t>
  </si>
  <si>
    <t>Markup:</t>
  </si>
  <si>
    <t>Supplier</t>
  </si>
  <si>
    <t>Street Address</t>
  </si>
  <si>
    <t>City</t>
  </si>
  <si>
    <t>State</t>
  </si>
  <si>
    <t>Zip</t>
  </si>
  <si>
    <t>Phone</t>
  </si>
  <si>
    <t>FAX</t>
  </si>
  <si>
    <t>CSR</t>
  </si>
  <si>
    <t>Boom's Hardware</t>
  </si>
  <si>
    <t>1827 South Oak St</t>
  </si>
  <si>
    <t>Topeka</t>
  </si>
  <si>
    <t>KS</t>
  </si>
  <si>
    <t>John Walters</t>
  </si>
  <si>
    <t>Cali Supply Company</t>
  </si>
  <si>
    <t>1291 North 18th St</t>
  </si>
  <si>
    <t>Akron</t>
  </si>
  <si>
    <t>OH</t>
  </si>
  <si>
    <t>Kevin Weasly</t>
  </si>
  <si>
    <t>Fiesta Tools</t>
  </si>
  <si>
    <t>382 Hill St</t>
  </si>
  <si>
    <t>Cimarron</t>
  </si>
  <si>
    <t>NM</t>
  </si>
  <si>
    <t>Sam Jefferson</t>
  </si>
  <si>
    <t>Hardware Supplies USA</t>
  </si>
  <si>
    <t>839 Lakeview Blvd</t>
  </si>
  <si>
    <t>Dallas</t>
  </si>
  <si>
    <t>TX</t>
  </si>
  <si>
    <t>Ken Swanson</t>
  </si>
  <si>
    <t>OS</t>
  </si>
  <si>
    <t>Oriental Suppliers</t>
  </si>
  <si>
    <t>300 Industrial Way</t>
  </si>
  <si>
    <t>Northcutt</t>
  </si>
  <si>
    <t>FL</t>
  </si>
  <si>
    <t>Tik Chen</t>
  </si>
  <si>
    <t>Timely Tools</t>
  </si>
  <si>
    <t>283 Parkway St</t>
  </si>
  <si>
    <t>Alexandria</t>
  </si>
  <si>
    <t>VA</t>
  </si>
  <si>
    <t>Roger Lankford</t>
  </si>
  <si>
    <t>Brianna Boucher</t>
  </si>
  <si>
    <t>HSUSA00403</t>
  </si>
  <si>
    <t>Screwdriver</t>
  </si>
  <si>
    <t>Standard Hand Tools</t>
  </si>
  <si>
    <t>Total</t>
  </si>
  <si>
    <t>Quantity to Order</t>
  </si>
  <si>
    <t>Current Investment</t>
  </si>
  <si>
    <t>Sticker Price</t>
  </si>
  <si>
    <t>Current Investment by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</si>
</sst>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&quot;$&quot;#,##0.00"/>
    <numFmt numFmtId="168" formatCode="[&lt;=9999999]###\-####;\(###\)\ ###\-####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7F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3" xfId="0" applyBorder="1" applyAlignment="1">
      <alignment vertical="center"/>
    </xf>
    <xf numFmtId="9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horizontal="right" vertical="center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2" borderId="0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8" xfId="0" applyBorder="1" applyAlignment="1">
      <alignment vertical="center"/>
    </xf>
    <xf numFmtId="166" fontId="0" fillId="0" borderId="3" xfId="0" applyNumberFormat="1" applyBorder="1" applyAlignment="1">
      <alignment vertical="center"/>
    </xf>
    <xf numFmtId="166" fontId="0" fillId="0" borderId="5" xfId="0" applyNumberFormat="1" applyBorder="1" applyAlignment="1">
      <alignment vertical="center"/>
    </xf>
    <xf numFmtId="166" fontId="0" fillId="0" borderId="7" xfId="0" applyNumberFormat="1" applyBorder="1" applyAlignment="1">
      <alignment vertical="center"/>
    </xf>
    <xf numFmtId="166" fontId="0" fillId="2" borderId="5" xfId="0" applyNumberFormat="1" applyFill="1" applyBorder="1" applyAlignment="1">
      <alignment vertical="center"/>
    </xf>
    <xf numFmtId="166" fontId="0" fillId="0" borderId="1" xfId="0" applyNumberFormat="1" applyBorder="1" applyAlignment="1">
      <alignment vertical="center"/>
    </xf>
    <xf numFmtId="166" fontId="0" fillId="0" borderId="8" xfId="0" applyNumberFormat="1" applyBorder="1" applyAlignment="1">
      <alignment vertical="center"/>
    </xf>
    <xf numFmtId="166" fontId="0" fillId="2" borderId="2" xfId="0" applyNumberForma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5" xfId="0" applyBorder="1" applyAlignment="1">
      <alignment horizontal="right" vertical="center"/>
    </xf>
    <xf numFmtId="0" fontId="2" fillId="5" borderId="0" xfId="0" applyFont="1" applyFill="1" applyAlignment="1">
      <alignment horizontal="center" vertical="center"/>
    </xf>
    <xf numFmtId="168" fontId="0" fillId="0" borderId="3" xfId="0" applyNumberFormat="1" applyBorder="1" applyAlignment="1">
      <alignment vertical="center"/>
    </xf>
    <xf numFmtId="168" fontId="0" fillId="0" borderId="5" xfId="0" applyNumberFormat="1" applyBorder="1" applyAlignment="1">
      <alignment vertical="center"/>
    </xf>
    <xf numFmtId="0" fontId="2" fillId="6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0" fillId="3" borderId="9" xfId="0" applyFont="1" applyFill="1" applyBorder="1" applyAlignment="1">
      <alignment vertical="center"/>
    </xf>
    <xf numFmtId="0" fontId="0" fillId="0" borderId="9" xfId="0" applyFont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166" fontId="0" fillId="3" borderId="1" xfId="0" applyNumberFormat="1" applyFont="1" applyFill="1" applyBorder="1" applyAlignment="1">
      <alignment vertical="center"/>
    </xf>
    <xf numFmtId="166" fontId="0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$&quot;#,##0.00"/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top style="thin">
          <color theme="4" tint="0.39997558519241921"/>
        </top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8" formatCode="[&lt;=9999999]###\-####;\(###\)\ ###\-####"/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numFmt numFmtId="168" formatCode="[&lt;=9999999]###\-####;\(###\)\ ###\-####"/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6" formatCode="&quot;$&quot;#,##0.00"/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6" formatCode="&quot;$&quot;#,##0.00"/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numFmt numFmtId="166" formatCode="&quot;$&quot;#,##0.00"/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rgb="FFFFD7F0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D7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Investment</a:t>
            </a:r>
            <a:r>
              <a:rPr lang="en-US" baseline="0"/>
              <a:t> by Supplier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187286453298305"/>
          <c:y val="0.13483185840707967"/>
          <c:w val="0.85626209329269642"/>
          <c:h val="0.61353410912131556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'Inventory Summary'!$C$3</c:f>
              <c:strCache>
                <c:ptCount val="1"/>
                <c:pt idx="0">
                  <c:v>Current Investment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4"/>
              <c:layout>
                <c:manualLayout>
                  <c:x val="0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10-5F43-B85E-F1F119F9724C}"/>
                </c:ext>
              </c:extLst>
            </c:dLbl>
            <c:numFmt formatCode="0.0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'Inventory Summary'!$A$4:$B$9</c:f>
              <c:multiLvlStrCache>
                <c:ptCount val="6"/>
                <c:lvl>
                  <c:pt idx="0">
                    <c:v>Boom's Hardware</c:v>
                  </c:pt>
                  <c:pt idx="1">
                    <c:v>Cali Supply Company</c:v>
                  </c:pt>
                  <c:pt idx="2">
                    <c:v>Fiesta Tools</c:v>
                  </c:pt>
                  <c:pt idx="3">
                    <c:v>Hardware Supplies USA</c:v>
                  </c:pt>
                  <c:pt idx="4">
                    <c:v>Oriental Suppliers</c:v>
                  </c:pt>
                  <c:pt idx="5">
                    <c:v>Timely Tools</c:v>
                  </c:pt>
                </c:lvl>
                <c:lvl>
                  <c:pt idx="0">
                    <c:v>BH</c:v>
                  </c:pt>
                  <c:pt idx="1">
                    <c:v>CSC</c:v>
                  </c:pt>
                  <c:pt idx="2">
                    <c:v>FT</c:v>
                  </c:pt>
                  <c:pt idx="3">
                    <c:v>HSUSA</c:v>
                  </c:pt>
                  <c:pt idx="4">
                    <c:v>OS</c:v>
                  </c:pt>
                  <c:pt idx="5">
                    <c:v>TT</c:v>
                  </c:pt>
                </c:lvl>
              </c:multiLvlStrCache>
            </c:multiLvlStrRef>
          </c:cat>
          <c:val>
            <c:numRef>
              <c:f>'Inventory Summary'!$C$4:$C$9</c:f>
              <c:numCache>
                <c:formatCode>"$"#,##0.00</c:formatCode>
                <c:ptCount val="6"/>
                <c:pt idx="0">
                  <c:v>221.95</c:v>
                </c:pt>
                <c:pt idx="1">
                  <c:v>194.93</c:v>
                </c:pt>
                <c:pt idx="2">
                  <c:v>404.15</c:v>
                </c:pt>
                <c:pt idx="3">
                  <c:v>322.7</c:v>
                </c:pt>
                <c:pt idx="4">
                  <c:v>0</c:v>
                </c:pt>
                <c:pt idx="5">
                  <c:v>481.79999999999995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0-5F43-B85E-F1F119F97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0318256"/>
        <c:axId val="309401328"/>
        <c:axId val="0"/>
      </c:bar3DChart>
      <c:catAx>
        <c:axId val="310318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Supplier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401328"/>
        <c:crosses val="autoZero"/>
        <c:auto val="1"/>
        <c:lblAlgn val="ctr"/>
        <c:lblOffset val="100"/>
        <c:noMultiLvlLbl val="0"/>
      </c:catAx>
      <c:valAx>
        <c:axId val="30940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Investment</a:t>
                </a:r>
                <a:r>
                  <a:rPr lang="en-US" baseline="0"/>
                  <a:t> Amount</a:t>
                </a:r>
              </a:p>
            </c:rich>
          </c:tx>
          <c:layout>
            <c:manualLayout>
              <c:xMode val="edge"/>
              <c:yMode val="edge"/>
              <c:x val="2.7560088259820384E-2"/>
              <c:y val="0.323052330848024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31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819150</xdr:colOff>
      <xdr:row>1</xdr:row>
      <xdr:rowOff>171450</xdr:rowOff>
    </xdr:from>
    <xdr:to>
      <xdr:col>13</xdr:col>
      <xdr:colOff>190500</xdr:colOff>
      <xdr:row>20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E651CD-7DA6-4E8E-BA97-AA9F40DCF2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E5A805-634D-0E4E-9B1F-1E9E7862B488}" name="Table1" displayName="Table1" ref="A6:J38" totalsRowShown="0" headerRowDxfId="33" dataDxfId="32" headerRowBorderDxfId="30" tableBorderDxfId="31">
  <autoFilter ref="A6:J38" xr:uid="{64E5A805-634D-0E4E-9B1F-1E9E7862B488}"/>
  <sortState xmlns:xlrd2="http://schemas.microsoft.com/office/spreadsheetml/2017/richdata2" ref="A7:H38">
    <sortCondition ref="B6:B38"/>
  </sortState>
  <tableColumns count="10">
    <tableColumn id="1" xr3:uid="{4752D09F-2024-4447-B5FD-6C62BD3B8269}" name="SKU" dataDxfId="29"/>
    <tableColumn id="2" xr3:uid="{0C1CD0FC-E007-6248-8335-21992B6D3117}" name="Description" dataDxfId="28"/>
    <tableColumn id="3" xr3:uid="{C9D6DADB-3FC7-624F-8B15-EF9B3062D241}" name="Department" dataDxfId="27"/>
    <tableColumn id="4" xr3:uid="{752157EC-D90E-4C4B-8C61-6F98A0161CC9}" name="Supplier ID" dataDxfId="25"/>
    <tableColumn id="5" xr3:uid="{5F6227B4-B33C-4B49-A9D7-327DBB6261DB}" name="Wholesale Price" dataDxfId="24"/>
    <tableColumn id="10" xr3:uid="{F6CE435E-69BF-5B44-92E4-B5191C90E981}" name="Sticker Price" dataDxfId="22">
      <calculatedColumnFormula>E7*(1+$B$4)</calculatedColumnFormula>
    </tableColumn>
    <tableColumn id="6" xr3:uid="{B5573C69-9E32-D54F-BE26-E7D236634A15}" name="Quantity in Stock" dataDxfId="23"/>
    <tableColumn id="7" xr3:uid="{420CB6C8-43CF-BE47-9606-68672C21A027}" name="Minimum Quantity" dataDxfId="26"/>
    <tableColumn id="8" xr3:uid="{C67D2680-90E4-6A44-867F-8A15031F77DE}" name="Quantity to Order" dataDxfId="21">
      <calculatedColumnFormula>IF(H7&gt;G7,H7-G7,"")</calculatedColumnFormula>
    </tableColumn>
    <tableColumn id="9" xr3:uid="{F4B153AB-4EE7-AC40-B659-B869DC9C8DD4}" name="Current Investment" dataDxfId="20">
      <calculatedColumnFormula>E7*G7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18D804-32A3-0D46-9E61-02BA81A2B455}" name="Table2" displayName="Table2" ref="A3:I9" totalsRowShown="0" headerRowDxfId="9" dataDxfId="10" headerRowBorderDxfId="18" tableBorderDxfId="19">
  <autoFilter ref="A3:I9" xr:uid="{4D18D804-32A3-0D46-9E61-02BA81A2B455}"/>
  <tableColumns count="9">
    <tableColumn id="1" xr3:uid="{EF10F8F1-54A5-124E-B943-CC0E3B3B2D45}" name="Supplier ID" dataDxfId="17"/>
    <tableColumn id="2" xr3:uid="{5CEE5B56-45C7-1D49-8F0F-B2A49856578A}" name="Supplier" dataDxfId="16"/>
    <tableColumn id="3" xr3:uid="{E4D1D701-E83E-BE4A-90B9-EF22912A3F1C}" name="Street Address" dataDxfId="15"/>
    <tableColumn id="4" xr3:uid="{0951F101-CF67-774C-BC3E-FA38F67A0165}" name="City" dataDxfId="14"/>
    <tableColumn id="5" xr3:uid="{30295934-59D8-D348-8992-84D12B0FD0F3}" name="State" dataDxfId="13"/>
    <tableColumn id="6" xr3:uid="{6782D144-5AA4-1948-B400-19A1FF414142}" name="Zip" dataDxfId="12"/>
    <tableColumn id="7" xr3:uid="{B7EEB86C-4ECE-D346-8602-6680A999D933}" name="Phone" dataDxfId="8"/>
    <tableColumn id="8" xr3:uid="{8E852E44-F7F2-ED48-9219-5B9363F02393}" name="FAX" dataDxfId="7"/>
    <tableColumn id="9" xr3:uid="{50C2738E-18C7-4D4B-A02B-A72DF29BA1AB}" name="CSR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B2BC84-F654-884B-B0B8-35FAC828562F}" name="Table3" displayName="Table3" ref="A3:C10" totalsRowShown="0" headerRowDxfId="3" headerRowBorderDxfId="5" tableBorderDxfId="6" totalsRowBorderDxfId="4">
  <autoFilter ref="A3:C10" xr:uid="{60B2BC84-F654-884B-B0B8-35FAC828562F}"/>
  <tableColumns count="3">
    <tableColumn id="1" xr3:uid="{EABC3FBA-F313-624D-A17F-48DBA55FE087}" name="Supplier ID" dataDxfId="0"/>
    <tableColumn id="2" xr3:uid="{B0710B98-F828-B640-9BF7-6806B9CC93D4}" name="Supplier" dataDxfId="2"/>
    <tableColumn id="3" xr3:uid="{E3E8A5EA-CBA7-4F4E-B297-F7C41425DCE6}" name="Current Investment" dataDxfId="1">
      <calculatedColumnFormula>SUMIF(Inventory!$D$4:$D$37, A4, Inventory!$J$4:$J$37)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workbookViewId="0">
      <selection activeCell="K26" sqref="K26"/>
    </sheetView>
  </sheetViews>
  <sheetFormatPr baseColWidth="10" defaultColWidth="8.83203125" defaultRowHeight="15" x14ac:dyDescent="0.2"/>
  <cols>
    <col min="1" max="1" width="15.5" customWidth="1"/>
    <col min="2" max="2" width="28" customWidth="1"/>
    <col min="3" max="3" width="14.33203125" customWidth="1"/>
    <col min="4" max="4" width="12" customWidth="1"/>
    <col min="5" max="6" width="16" customWidth="1"/>
    <col min="7" max="7" width="16.6640625" customWidth="1"/>
    <col min="8" max="8" width="19.6640625" customWidth="1"/>
    <col min="9" max="9" width="10.5" customWidth="1"/>
    <col min="10" max="10" width="13" customWidth="1"/>
  </cols>
  <sheetData>
    <row r="1" spans="1:11" ht="23" customHeight="1" x14ac:dyDescent="0.2">
      <c r="A1" s="7" t="s">
        <v>76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23" customHeight="1" x14ac:dyDescent="0.2">
      <c r="A2" s="6" t="s">
        <v>77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x14ac:dyDescent="0.2">
      <c r="A3" t="s">
        <v>118</v>
      </c>
    </row>
    <row r="4" spans="1:11" x14ac:dyDescent="0.2">
      <c r="A4" s="5" t="s">
        <v>78</v>
      </c>
      <c r="B4" s="2">
        <v>0.3</v>
      </c>
    </row>
    <row r="6" spans="1:11" ht="32.25" customHeight="1" thickBot="1" x14ac:dyDescent="0.25">
      <c r="A6" s="9" t="s">
        <v>0</v>
      </c>
      <c r="B6" s="9" t="s">
        <v>1</v>
      </c>
      <c r="C6" s="9" t="s">
        <v>2</v>
      </c>
      <c r="D6" s="9" t="s">
        <v>3</v>
      </c>
      <c r="E6" s="9" t="s">
        <v>4</v>
      </c>
      <c r="F6" s="9" t="s">
        <v>125</v>
      </c>
      <c r="G6" s="9" t="s">
        <v>5</v>
      </c>
      <c r="H6" s="10" t="s">
        <v>6</v>
      </c>
      <c r="I6" s="17" t="s">
        <v>123</v>
      </c>
      <c r="J6" s="10" t="s">
        <v>124</v>
      </c>
    </row>
    <row r="7" spans="1:11" ht="16" thickBot="1" x14ac:dyDescent="0.25">
      <c r="A7" s="1" t="s">
        <v>20</v>
      </c>
      <c r="B7" s="1" t="s">
        <v>21</v>
      </c>
      <c r="C7" s="1" t="s">
        <v>13</v>
      </c>
      <c r="D7" s="1" t="s">
        <v>10</v>
      </c>
      <c r="E7" s="21">
        <v>3.21</v>
      </c>
      <c r="F7" s="21">
        <f t="shared" ref="F7:F38" si="0">E7*(1+$B$4)</f>
        <v>4.173</v>
      </c>
      <c r="G7" s="1">
        <v>1</v>
      </c>
      <c r="H7" s="8">
        <v>1</v>
      </c>
      <c r="I7" s="18" t="str">
        <f t="shared" ref="I7:I38" si="1">IF(H7&gt;G7,H7-G7,"")</f>
        <v/>
      </c>
      <c r="J7" s="25">
        <f t="shared" ref="J7:J38" si="2">E7*G7</f>
        <v>3.21</v>
      </c>
    </row>
    <row r="8" spans="1:11" ht="16" thickBot="1" x14ac:dyDescent="0.25">
      <c r="A8" s="1" t="s">
        <v>34</v>
      </c>
      <c r="B8" s="1" t="s">
        <v>35</v>
      </c>
      <c r="C8" s="1" t="s">
        <v>13</v>
      </c>
      <c r="D8" s="1" t="s">
        <v>36</v>
      </c>
      <c r="E8" s="21">
        <v>22.38</v>
      </c>
      <c r="F8" s="21">
        <f t="shared" si="0"/>
        <v>29.094000000000001</v>
      </c>
      <c r="G8" s="1">
        <v>2</v>
      </c>
      <c r="H8" s="8">
        <v>1</v>
      </c>
      <c r="I8" s="18" t="str">
        <f t="shared" si="1"/>
        <v/>
      </c>
      <c r="J8" s="25">
        <f t="shared" si="2"/>
        <v>44.76</v>
      </c>
    </row>
    <row r="9" spans="1:11" ht="16" thickBot="1" x14ac:dyDescent="0.25">
      <c r="A9" s="1" t="s">
        <v>37</v>
      </c>
      <c r="B9" s="1" t="s">
        <v>38</v>
      </c>
      <c r="C9" s="1" t="s">
        <v>13</v>
      </c>
      <c r="D9" s="1" t="s">
        <v>36</v>
      </c>
      <c r="E9" s="21">
        <v>31.26</v>
      </c>
      <c r="F9" s="21">
        <f t="shared" si="0"/>
        <v>40.638000000000005</v>
      </c>
      <c r="G9" s="1">
        <v>3</v>
      </c>
      <c r="H9" s="8">
        <v>2</v>
      </c>
      <c r="I9" s="18" t="str">
        <f t="shared" si="1"/>
        <v/>
      </c>
      <c r="J9" s="25">
        <f t="shared" si="2"/>
        <v>93.78</v>
      </c>
    </row>
    <row r="10" spans="1:11" ht="16" thickBot="1" x14ac:dyDescent="0.25">
      <c r="A10" s="1" t="s">
        <v>16</v>
      </c>
      <c r="B10" s="1" t="s">
        <v>17</v>
      </c>
      <c r="C10" s="1" t="s">
        <v>13</v>
      </c>
      <c r="D10" s="1" t="s">
        <v>10</v>
      </c>
      <c r="E10" s="21">
        <v>18.88</v>
      </c>
      <c r="F10" s="21">
        <f t="shared" si="0"/>
        <v>24.544</v>
      </c>
      <c r="G10" s="1">
        <v>0</v>
      </c>
      <c r="H10" s="8">
        <v>4</v>
      </c>
      <c r="I10" s="18">
        <f t="shared" si="1"/>
        <v>4</v>
      </c>
      <c r="J10" s="25">
        <f t="shared" si="2"/>
        <v>0</v>
      </c>
    </row>
    <row r="11" spans="1:11" ht="16" thickBot="1" x14ac:dyDescent="0.25">
      <c r="A11" s="1" t="s">
        <v>18</v>
      </c>
      <c r="B11" s="1" t="s">
        <v>19</v>
      </c>
      <c r="C11" s="1" t="s">
        <v>13</v>
      </c>
      <c r="D11" s="1" t="s">
        <v>10</v>
      </c>
      <c r="E11" s="21">
        <v>17.670000000000002</v>
      </c>
      <c r="F11" s="21">
        <f t="shared" si="0"/>
        <v>22.971000000000004</v>
      </c>
      <c r="G11" s="1">
        <v>2</v>
      </c>
      <c r="H11" s="8">
        <v>2</v>
      </c>
      <c r="I11" s="18" t="str">
        <f t="shared" si="1"/>
        <v/>
      </c>
      <c r="J11" s="25">
        <f t="shared" si="2"/>
        <v>35.340000000000003</v>
      </c>
    </row>
    <row r="12" spans="1:11" ht="16" thickBot="1" x14ac:dyDescent="0.25">
      <c r="A12" s="1" t="s">
        <v>26</v>
      </c>
      <c r="B12" s="1" t="s">
        <v>27</v>
      </c>
      <c r="C12" s="1" t="s">
        <v>13</v>
      </c>
      <c r="D12" s="1" t="s">
        <v>25</v>
      </c>
      <c r="E12" s="21">
        <v>4.4400000000000004</v>
      </c>
      <c r="F12" s="21">
        <f t="shared" si="0"/>
        <v>5.7720000000000011</v>
      </c>
      <c r="G12" s="1">
        <v>2</v>
      </c>
      <c r="H12" s="8">
        <v>3</v>
      </c>
      <c r="I12" s="18">
        <f t="shared" si="1"/>
        <v>1</v>
      </c>
      <c r="J12" s="25">
        <f t="shared" si="2"/>
        <v>8.8800000000000008</v>
      </c>
    </row>
    <row r="13" spans="1:11" ht="16" thickBot="1" x14ac:dyDescent="0.25">
      <c r="A13" s="1" t="s">
        <v>11</v>
      </c>
      <c r="B13" s="1" t="s">
        <v>12</v>
      </c>
      <c r="C13" s="1" t="s">
        <v>13</v>
      </c>
      <c r="D13" s="1" t="s">
        <v>10</v>
      </c>
      <c r="E13" s="21">
        <v>3.88</v>
      </c>
      <c r="F13" s="21">
        <f t="shared" si="0"/>
        <v>5.0439999999999996</v>
      </c>
      <c r="G13" s="1">
        <v>6</v>
      </c>
      <c r="H13" s="8">
        <v>2</v>
      </c>
      <c r="I13" s="18" t="str">
        <f t="shared" si="1"/>
        <v/>
      </c>
      <c r="J13" s="25">
        <f t="shared" si="2"/>
        <v>23.28</v>
      </c>
    </row>
    <row r="14" spans="1:11" ht="16" thickBot="1" x14ac:dyDescent="0.25">
      <c r="A14" s="1" t="s">
        <v>14</v>
      </c>
      <c r="B14" s="1" t="s">
        <v>15</v>
      </c>
      <c r="C14" s="1" t="s">
        <v>13</v>
      </c>
      <c r="D14" s="1" t="s">
        <v>10</v>
      </c>
      <c r="E14" s="21">
        <v>2.06</v>
      </c>
      <c r="F14" s="21">
        <f t="shared" si="0"/>
        <v>2.6780000000000004</v>
      </c>
      <c r="G14" s="1">
        <v>2</v>
      </c>
      <c r="H14" s="8">
        <v>3</v>
      </c>
      <c r="I14" s="18">
        <f t="shared" si="1"/>
        <v>1</v>
      </c>
      <c r="J14" s="25">
        <f t="shared" si="2"/>
        <v>4.12</v>
      </c>
    </row>
    <row r="15" spans="1:11" ht="16" thickBot="1" x14ac:dyDescent="0.25">
      <c r="A15" s="1" t="s">
        <v>39</v>
      </c>
      <c r="B15" s="1" t="s">
        <v>40</v>
      </c>
      <c r="C15" s="1" t="s">
        <v>13</v>
      </c>
      <c r="D15" s="1" t="s">
        <v>36</v>
      </c>
      <c r="E15" s="21">
        <v>2.61</v>
      </c>
      <c r="F15" s="21">
        <f t="shared" si="0"/>
        <v>3.3929999999999998</v>
      </c>
      <c r="G15" s="1">
        <v>1</v>
      </c>
      <c r="H15" s="8">
        <v>1</v>
      </c>
      <c r="I15" s="18" t="str">
        <f t="shared" si="1"/>
        <v/>
      </c>
      <c r="J15" s="25">
        <f t="shared" si="2"/>
        <v>2.61</v>
      </c>
    </row>
    <row r="16" spans="1:11" ht="16" thickBot="1" x14ac:dyDescent="0.25">
      <c r="A16" s="1" t="s">
        <v>30</v>
      </c>
      <c r="B16" s="1" t="s">
        <v>31</v>
      </c>
      <c r="C16" s="1" t="s">
        <v>13</v>
      </c>
      <c r="D16" s="1" t="s">
        <v>25</v>
      </c>
      <c r="E16" s="21">
        <v>7.63</v>
      </c>
      <c r="F16" s="21">
        <f t="shared" si="0"/>
        <v>9.9190000000000005</v>
      </c>
      <c r="G16" s="1">
        <v>5</v>
      </c>
      <c r="H16" s="8">
        <v>6</v>
      </c>
      <c r="I16" s="18">
        <f t="shared" si="1"/>
        <v>1</v>
      </c>
      <c r="J16" s="25">
        <f t="shared" si="2"/>
        <v>38.15</v>
      </c>
    </row>
    <row r="17" spans="1:10" ht="16" thickBot="1" x14ac:dyDescent="0.25">
      <c r="A17" s="1" t="s">
        <v>7</v>
      </c>
      <c r="B17" s="1" t="s">
        <v>8</v>
      </c>
      <c r="C17" s="1" t="s">
        <v>9</v>
      </c>
      <c r="D17" s="1" t="s">
        <v>10</v>
      </c>
      <c r="E17" s="21">
        <v>22</v>
      </c>
      <c r="F17" s="21">
        <f t="shared" si="0"/>
        <v>28.6</v>
      </c>
      <c r="G17" s="1">
        <v>3</v>
      </c>
      <c r="H17" s="8">
        <v>2</v>
      </c>
      <c r="I17" s="18" t="str">
        <f t="shared" si="1"/>
        <v/>
      </c>
      <c r="J17" s="25">
        <f t="shared" si="2"/>
        <v>66</v>
      </c>
    </row>
    <row r="18" spans="1:10" ht="16" thickBot="1" x14ac:dyDescent="0.25">
      <c r="A18" s="1" t="s">
        <v>41</v>
      </c>
      <c r="B18" s="1" t="s">
        <v>42</v>
      </c>
      <c r="C18" s="1" t="s">
        <v>9</v>
      </c>
      <c r="D18" s="1" t="s">
        <v>36</v>
      </c>
      <c r="E18" s="21">
        <v>40.6</v>
      </c>
      <c r="F18" s="21">
        <f t="shared" si="0"/>
        <v>52.78</v>
      </c>
      <c r="G18" s="1">
        <v>5</v>
      </c>
      <c r="H18" s="8">
        <v>4</v>
      </c>
      <c r="I18" s="18" t="str">
        <f t="shared" si="1"/>
        <v/>
      </c>
      <c r="J18" s="25">
        <f t="shared" si="2"/>
        <v>203</v>
      </c>
    </row>
    <row r="19" spans="1:10" ht="16" thickBot="1" x14ac:dyDescent="0.25">
      <c r="A19" s="1" t="s">
        <v>53</v>
      </c>
      <c r="B19" s="1" t="s">
        <v>54</v>
      </c>
      <c r="C19" s="18" t="s">
        <v>52</v>
      </c>
      <c r="D19" s="1" t="s">
        <v>49</v>
      </c>
      <c r="E19" s="21">
        <v>19</v>
      </c>
      <c r="F19" s="21">
        <f t="shared" si="0"/>
        <v>24.7</v>
      </c>
      <c r="G19" s="1">
        <v>2</v>
      </c>
      <c r="H19" s="8">
        <v>2</v>
      </c>
      <c r="I19" s="18" t="str">
        <f t="shared" si="1"/>
        <v/>
      </c>
      <c r="J19" s="25">
        <f t="shared" si="2"/>
        <v>38</v>
      </c>
    </row>
    <row r="20" spans="1:10" ht="16" thickBot="1" x14ac:dyDescent="0.25">
      <c r="A20" s="1" t="s">
        <v>50</v>
      </c>
      <c r="B20" s="1" t="s">
        <v>51</v>
      </c>
      <c r="C20" s="18" t="s">
        <v>52</v>
      </c>
      <c r="D20" s="1" t="s">
        <v>49</v>
      </c>
      <c r="E20" s="21">
        <v>9</v>
      </c>
      <c r="F20" s="21">
        <f t="shared" si="0"/>
        <v>11.700000000000001</v>
      </c>
      <c r="G20" s="1">
        <v>3</v>
      </c>
      <c r="H20" s="8">
        <v>2</v>
      </c>
      <c r="I20" s="18" t="str">
        <f t="shared" si="1"/>
        <v/>
      </c>
      <c r="J20" s="25">
        <f t="shared" si="2"/>
        <v>27</v>
      </c>
    </row>
    <row r="21" spans="1:10" ht="16" thickBot="1" x14ac:dyDescent="0.25">
      <c r="A21" s="1" t="s">
        <v>55</v>
      </c>
      <c r="B21" s="1" t="s">
        <v>56</v>
      </c>
      <c r="C21" s="1" t="s">
        <v>52</v>
      </c>
      <c r="D21" s="1" t="s">
        <v>49</v>
      </c>
      <c r="E21" s="21">
        <v>14</v>
      </c>
      <c r="F21" s="21">
        <f t="shared" si="0"/>
        <v>18.2</v>
      </c>
      <c r="G21" s="1">
        <v>5</v>
      </c>
      <c r="H21" s="8">
        <v>4</v>
      </c>
      <c r="I21" s="18" t="str">
        <f t="shared" si="1"/>
        <v/>
      </c>
      <c r="J21" s="25">
        <f t="shared" si="2"/>
        <v>70</v>
      </c>
    </row>
    <row r="22" spans="1:10" ht="16" thickBot="1" x14ac:dyDescent="0.25">
      <c r="A22" s="1" t="s">
        <v>63</v>
      </c>
      <c r="B22" s="1" t="s">
        <v>64</v>
      </c>
      <c r="C22" s="1" t="s">
        <v>13</v>
      </c>
      <c r="D22" s="1" t="s">
        <v>65</v>
      </c>
      <c r="E22" s="21">
        <v>10.3</v>
      </c>
      <c r="F22" s="21">
        <f t="shared" si="0"/>
        <v>13.39</v>
      </c>
      <c r="G22" s="1">
        <v>8</v>
      </c>
      <c r="H22" s="8">
        <v>2</v>
      </c>
      <c r="I22" s="18" t="str">
        <f t="shared" si="1"/>
        <v/>
      </c>
      <c r="J22" s="25">
        <f t="shared" si="2"/>
        <v>82.4</v>
      </c>
    </row>
    <row r="23" spans="1:10" ht="16" thickBot="1" x14ac:dyDescent="0.25">
      <c r="A23" s="1" t="s">
        <v>66</v>
      </c>
      <c r="B23" s="1" t="s">
        <v>67</v>
      </c>
      <c r="C23" s="1" t="s">
        <v>13</v>
      </c>
      <c r="D23" s="1" t="s">
        <v>65</v>
      </c>
      <c r="E23" s="21">
        <v>12.5</v>
      </c>
      <c r="F23" s="21">
        <f t="shared" si="0"/>
        <v>16.25</v>
      </c>
      <c r="G23" s="1">
        <v>10</v>
      </c>
      <c r="H23" s="8">
        <v>5</v>
      </c>
      <c r="I23" s="18" t="str">
        <f t="shared" si="1"/>
        <v/>
      </c>
      <c r="J23" s="25">
        <f t="shared" si="2"/>
        <v>125</v>
      </c>
    </row>
    <row r="24" spans="1:10" ht="16" thickBot="1" x14ac:dyDescent="0.25">
      <c r="A24" s="1" t="s">
        <v>61</v>
      </c>
      <c r="B24" s="1" t="s">
        <v>62</v>
      </c>
      <c r="C24" s="1" t="s">
        <v>13</v>
      </c>
      <c r="D24" s="1" t="s">
        <v>49</v>
      </c>
      <c r="E24" s="21">
        <v>16</v>
      </c>
      <c r="F24" s="21">
        <f t="shared" si="0"/>
        <v>20.8</v>
      </c>
      <c r="G24" s="1">
        <v>2</v>
      </c>
      <c r="H24" s="8">
        <v>2</v>
      </c>
      <c r="I24" s="18" t="str">
        <f t="shared" si="1"/>
        <v/>
      </c>
      <c r="J24" s="25">
        <f t="shared" si="2"/>
        <v>32</v>
      </c>
    </row>
    <row r="25" spans="1:10" ht="16" thickBot="1" x14ac:dyDescent="0.25">
      <c r="A25" s="1" t="s">
        <v>45</v>
      </c>
      <c r="B25" s="1" t="s">
        <v>46</v>
      </c>
      <c r="C25" s="1" t="s">
        <v>24</v>
      </c>
      <c r="D25" s="1" t="s">
        <v>36</v>
      </c>
      <c r="E25" s="21">
        <v>4</v>
      </c>
      <c r="F25" s="21">
        <f t="shared" si="0"/>
        <v>5.2</v>
      </c>
      <c r="G25" s="1">
        <v>8</v>
      </c>
      <c r="H25" s="8">
        <v>3</v>
      </c>
      <c r="I25" s="18" t="str">
        <f t="shared" si="1"/>
        <v/>
      </c>
      <c r="J25" s="25">
        <f t="shared" si="2"/>
        <v>32</v>
      </c>
    </row>
    <row r="26" spans="1:10" ht="16" thickBot="1" x14ac:dyDescent="0.25">
      <c r="A26" s="1" t="s">
        <v>22</v>
      </c>
      <c r="B26" s="1" t="s">
        <v>23</v>
      </c>
      <c r="C26" s="1" t="s">
        <v>24</v>
      </c>
      <c r="D26" s="1" t="s">
        <v>25</v>
      </c>
      <c r="E26" s="21">
        <v>14.4</v>
      </c>
      <c r="F26" s="21">
        <f t="shared" si="0"/>
        <v>18.720000000000002</v>
      </c>
      <c r="G26" s="1">
        <v>0</v>
      </c>
      <c r="H26" s="8">
        <v>3</v>
      </c>
      <c r="I26" s="18">
        <f t="shared" si="1"/>
        <v>3</v>
      </c>
      <c r="J26" s="25">
        <f t="shared" si="2"/>
        <v>0</v>
      </c>
    </row>
    <row r="27" spans="1:10" ht="16" thickBot="1" x14ac:dyDescent="0.25">
      <c r="A27" s="1" t="s">
        <v>43</v>
      </c>
      <c r="B27" s="1" t="s">
        <v>44</v>
      </c>
      <c r="C27" s="1" t="s">
        <v>24</v>
      </c>
      <c r="D27" s="1" t="s">
        <v>36</v>
      </c>
      <c r="E27" s="21">
        <v>5.6</v>
      </c>
      <c r="F27" s="21">
        <f t="shared" si="0"/>
        <v>7.2799999999999994</v>
      </c>
      <c r="G27" s="1">
        <v>5</v>
      </c>
      <c r="H27" s="8">
        <v>4</v>
      </c>
      <c r="I27" s="18" t="str">
        <f t="shared" si="1"/>
        <v/>
      </c>
      <c r="J27" s="25">
        <f t="shared" si="2"/>
        <v>28</v>
      </c>
    </row>
    <row r="28" spans="1:10" ht="16" thickBot="1" x14ac:dyDescent="0.25">
      <c r="A28" s="1" t="s">
        <v>28</v>
      </c>
      <c r="B28" s="1" t="s">
        <v>29</v>
      </c>
      <c r="C28" s="1" t="s">
        <v>24</v>
      </c>
      <c r="D28" s="1" t="s">
        <v>25</v>
      </c>
      <c r="E28" s="21">
        <v>10</v>
      </c>
      <c r="F28" s="21">
        <f t="shared" si="0"/>
        <v>13</v>
      </c>
      <c r="G28" s="1">
        <v>8</v>
      </c>
      <c r="H28" s="8">
        <v>4</v>
      </c>
      <c r="I28" s="18" t="str">
        <f t="shared" si="1"/>
        <v/>
      </c>
      <c r="J28" s="25">
        <f t="shared" si="2"/>
        <v>80</v>
      </c>
    </row>
    <row r="29" spans="1:10" ht="16" thickBot="1" x14ac:dyDescent="0.25">
      <c r="A29" s="1" t="s">
        <v>68</v>
      </c>
      <c r="B29" s="1" t="s">
        <v>69</v>
      </c>
      <c r="C29" s="1" t="s">
        <v>13</v>
      </c>
      <c r="D29" s="1" t="s">
        <v>65</v>
      </c>
      <c r="E29" s="21">
        <v>34.799999999999997</v>
      </c>
      <c r="F29" s="21">
        <f t="shared" si="0"/>
        <v>45.239999999999995</v>
      </c>
      <c r="G29" s="1">
        <v>5</v>
      </c>
      <c r="H29" s="8">
        <v>3</v>
      </c>
      <c r="I29" s="18" t="str">
        <f t="shared" si="1"/>
        <v/>
      </c>
      <c r="J29" s="25">
        <f t="shared" si="2"/>
        <v>174</v>
      </c>
    </row>
    <row r="30" spans="1:10" ht="16" thickBot="1" x14ac:dyDescent="0.25">
      <c r="A30" s="1" t="s">
        <v>59</v>
      </c>
      <c r="B30" s="1" t="s">
        <v>60</v>
      </c>
      <c r="C30" s="1" t="s">
        <v>13</v>
      </c>
      <c r="D30" s="1" t="s">
        <v>49</v>
      </c>
      <c r="E30" s="21">
        <v>6.2</v>
      </c>
      <c r="F30" s="21">
        <f t="shared" si="0"/>
        <v>8.06</v>
      </c>
      <c r="G30" s="1">
        <v>3</v>
      </c>
      <c r="H30" s="8">
        <v>3</v>
      </c>
      <c r="I30" s="18" t="str">
        <f t="shared" si="1"/>
        <v/>
      </c>
      <c r="J30" s="25">
        <f t="shared" si="2"/>
        <v>18.600000000000001</v>
      </c>
    </row>
    <row r="31" spans="1:10" ht="16" thickBot="1" x14ac:dyDescent="0.25">
      <c r="A31" s="1" t="s">
        <v>57</v>
      </c>
      <c r="B31" s="1" t="s">
        <v>58</v>
      </c>
      <c r="C31" s="1" t="s">
        <v>13</v>
      </c>
      <c r="D31" s="1" t="s">
        <v>49</v>
      </c>
      <c r="E31" s="21">
        <v>6.6</v>
      </c>
      <c r="F31" s="21">
        <f t="shared" si="0"/>
        <v>8.58</v>
      </c>
      <c r="G31" s="1">
        <v>1</v>
      </c>
      <c r="H31" s="8">
        <v>2</v>
      </c>
      <c r="I31" s="18">
        <f t="shared" si="1"/>
        <v>1</v>
      </c>
      <c r="J31" s="25">
        <f t="shared" si="2"/>
        <v>6.6</v>
      </c>
    </row>
    <row r="32" spans="1:10" ht="16" thickBot="1" x14ac:dyDescent="0.25">
      <c r="A32" s="1" t="s">
        <v>47</v>
      </c>
      <c r="B32" s="1" t="s">
        <v>48</v>
      </c>
      <c r="C32" s="1" t="s">
        <v>13</v>
      </c>
      <c r="D32" s="1" t="s">
        <v>49</v>
      </c>
      <c r="E32" s="21">
        <v>10.5</v>
      </c>
      <c r="F32" s="21">
        <f t="shared" si="0"/>
        <v>13.65</v>
      </c>
      <c r="G32" s="1">
        <v>9</v>
      </c>
      <c r="H32" s="8">
        <v>4</v>
      </c>
      <c r="I32" s="18" t="str">
        <f t="shared" si="1"/>
        <v/>
      </c>
      <c r="J32" s="25">
        <f t="shared" si="2"/>
        <v>94.5</v>
      </c>
    </row>
    <row r="33" spans="1:10" ht="16" thickBot="1" x14ac:dyDescent="0.25">
      <c r="A33" s="1" t="s">
        <v>32</v>
      </c>
      <c r="B33" s="1" t="s">
        <v>33</v>
      </c>
      <c r="C33" s="1" t="s">
        <v>13</v>
      </c>
      <c r="D33" s="1" t="s">
        <v>25</v>
      </c>
      <c r="E33" s="21">
        <v>9.6999999999999993</v>
      </c>
      <c r="F33" s="21">
        <f t="shared" si="0"/>
        <v>12.61</v>
      </c>
      <c r="G33" s="1">
        <v>7</v>
      </c>
      <c r="H33" s="8">
        <v>5</v>
      </c>
      <c r="I33" s="18" t="str">
        <f t="shared" si="1"/>
        <v/>
      </c>
      <c r="J33" s="25">
        <f t="shared" si="2"/>
        <v>67.899999999999991</v>
      </c>
    </row>
    <row r="34" spans="1:10" ht="16" thickBot="1" x14ac:dyDescent="0.25">
      <c r="A34" s="1" t="s">
        <v>70</v>
      </c>
      <c r="B34" s="1" t="s">
        <v>71</v>
      </c>
      <c r="C34" s="1" t="s">
        <v>13</v>
      </c>
      <c r="D34" s="1" t="s">
        <v>65</v>
      </c>
      <c r="E34" s="21">
        <v>25.1</v>
      </c>
      <c r="F34" s="21">
        <f t="shared" si="0"/>
        <v>32.630000000000003</v>
      </c>
      <c r="G34" s="1">
        <v>4</v>
      </c>
      <c r="H34" s="8">
        <v>3</v>
      </c>
      <c r="I34" s="18" t="str">
        <f t="shared" si="1"/>
        <v/>
      </c>
      <c r="J34" s="25">
        <f t="shared" si="2"/>
        <v>100.4</v>
      </c>
    </row>
    <row r="35" spans="1:10" ht="16" thickBot="1" x14ac:dyDescent="0.25">
      <c r="A35" s="1" t="s">
        <v>119</v>
      </c>
      <c r="B35" s="1" t="s">
        <v>120</v>
      </c>
      <c r="C35" s="1" t="s">
        <v>121</v>
      </c>
      <c r="D35" s="1" t="s">
        <v>49</v>
      </c>
      <c r="E35" s="21">
        <v>4</v>
      </c>
      <c r="F35" s="21">
        <f t="shared" si="0"/>
        <v>5.2</v>
      </c>
      <c r="G35" s="1">
        <v>9</v>
      </c>
      <c r="H35" s="8">
        <v>10</v>
      </c>
      <c r="I35" s="18">
        <f t="shared" si="1"/>
        <v>1</v>
      </c>
      <c r="J35" s="25">
        <f t="shared" si="2"/>
        <v>36</v>
      </c>
    </row>
    <row r="36" spans="1:10" ht="16" thickBot="1" x14ac:dyDescent="0.25">
      <c r="A36" s="11" t="s">
        <v>72</v>
      </c>
      <c r="B36" s="11" t="s">
        <v>73</v>
      </c>
      <c r="C36" s="11" t="s">
        <v>13</v>
      </c>
      <c r="D36" s="11" t="s">
        <v>10</v>
      </c>
      <c r="E36" s="22">
        <v>13.2</v>
      </c>
      <c r="F36" s="22">
        <f t="shared" si="0"/>
        <v>17.16</v>
      </c>
      <c r="G36" s="11">
        <v>5</v>
      </c>
      <c r="H36" s="12">
        <v>4</v>
      </c>
      <c r="I36" s="18" t="str">
        <f t="shared" si="1"/>
        <v/>
      </c>
      <c r="J36" s="25">
        <f t="shared" si="2"/>
        <v>66</v>
      </c>
    </row>
    <row r="37" spans="1:10" ht="16" thickBot="1" x14ac:dyDescent="0.25">
      <c r="A37" s="15" t="s">
        <v>74</v>
      </c>
      <c r="B37" s="15" t="s">
        <v>75</v>
      </c>
      <c r="C37" s="15" t="s">
        <v>13</v>
      </c>
      <c r="D37" s="15" t="s">
        <v>10</v>
      </c>
      <c r="E37" s="23">
        <v>4</v>
      </c>
      <c r="F37" s="23">
        <f t="shared" si="0"/>
        <v>5.2</v>
      </c>
      <c r="G37" s="15">
        <v>6</v>
      </c>
      <c r="H37" s="16">
        <v>8</v>
      </c>
      <c r="I37" s="20">
        <f t="shared" si="1"/>
        <v>2</v>
      </c>
      <c r="J37" s="26">
        <f t="shared" si="2"/>
        <v>24</v>
      </c>
    </row>
    <row r="38" spans="1:10" ht="17" thickTop="1" thickBot="1" x14ac:dyDescent="0.25">
      <c r="A38" s="13" t="s">
        <v>122</v>
      </c>
      <c r="B38" s="13"/>
      <c r="C38" s="13"/>
      <c r="D38" s="13"/>
      <c r="E38" s="24">
        <f>SUM(E7:E37)</f>
        <v>405.52</v>
      </c>
      <c r="F38" s="24">
        <f t="shared" si="0"/>
        <v>527.17600000000004</v>
      </c>
      <c r="G38" s="13">
        <f>SUM(G7:G37)</f>
        <v>132</v>
      </c>
      <c r="H38" s="14">
        <f>SUM(H7:H37)</f>
        <v>104</v>
      </c>
      <c r="I38" s="19" t="str">
        <f t="shared" si="1"/>
        <v/>
      </c>
      <c r="J38" s="27">
        <f>SUM(J7:J37)</f>
        <v>1625.53</v>
      </c>
    </row>
  </sheetData>
  <mergeCells count="2">
    <mergeCell ref="A1:K1"/>
    <mergeCell ref="A2:K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selection activeCell="A3" sqref="A3:B9"/>
    </sheetView>
  </sheetViews>
  <sheetFormatPr baseColWidth="10" defaultColWidth="8.83203125" defaultRowHeight="15" x14ac:dyDescent="0.2"/>
  <cols>
    <col min="1" max="1" width="12" customWidth="1"/>
    <col min="2" max="2" width="10" customWidth="1"/>
    <col min="3" max="3" width="14.83203125" customWidth="1"/>
    <col min="4" max="4" width="10.5" bestFit="1" customWidth="1"/>
    <col min="7" max="7" width="15" customWidth="1"/>
    <col min="8" max="8" width="15.5" customWidth="1"/>
    <col min="9" max="9" width="15" customWidth="1"/>
  </cols>
  <sheetData>
    <row r="1" spans="1:9" ht="23" customHeight="1" x14ac:dyDescent="0.2">
      <c r="A1" s="31" t="s">
        <v>126</v>
      </c>
      <c r="B1" s="31"/>
      <c r="C1" s="31"/>
      <c r="D1" s="31"/>
      <c r="E1" s="31"/>
      <c r="F1" s="31"/>
      <c r="G1" s="31"/>
      <c r="H1" s="31"/>
      <c r="I1" s="31"/>
    </row>
    <row r="3" spans="1:9" ht="16" thickBot="1" x14ac:dyDescent="0.25">
      <c r="A3" s="28" t="s">
        <v>3</v>
      </c>
      <c r="B3" s="28" t="s">
        <v>79</v>
      </c>
      <c r="C3" s="28" t="s">
        <v>80</v>
      </c>
      <c r="D3" s="28" t="s">
        <v>81</v>
      </c>
      <c r="E3" s="28" t="s">
        <v>82</v>
      </c>
      <c r="F3" s="28" t="s">
        <v>83</v>
      </c>
      <c r="G3" s="28" t="s">
        <v>84</v>
      </c>
      <c r="H3" s="28" t="s">
        <v>85</v>
      </c>
      <c r="I3" s="29" t="s">
        <v>86</v>
      </c>
    </row>
    <row r="4" spans="1:9" ht="16" thickBot="1" x14ac:dyDescent="0.25">
      <c r="A4" s="1" t="s">
        <v>10</v>
      </c>
      <c r="B4" s="1" t="s">
        <v>87</v>
      </c>
      <c r="C4" s="1" t="s">
        <v>88</v>
      </c>
      <c r="D4" s="1" t="s">
        <v>89</v>
      </c>
      <c r="E4" s="1" t="s">
        <v>90</v>
      </c>
      <c r="F4" s="4">
        <v>66607</v>
      </c>
      <c r="G4" s="32">
        <v>5556660001</v>
      </c>
      <c r="H4" s="32">
        <v>5557773390</v>
      </c>
      <c r="I4" s="8" t="s">
        <v>91</v>
      </c>
    </row>
    <row r="5" spans="1:9" ht="16" thickBot="1" x14ac:dyDescent="0.25">
      <c r="A5" s="1" t="s">
        <v>25</v>
      </c>
      <c r="B5" s="1" t="s">
        <v>92</v>
      </c>
      <c r="C5" s="1" t="s">
        <v>93</v>
      </c>
      <c r="D5" s="1" t="s">
        <v>94</v>
      </c>
      <c r="E5" s="1" t="s">
        <v>95</v>
      </c>
      <c r="F5" s="4">
        <v>44305</v>
      </c>
      <c r="G5" s="32">
        <v>5556665555</v>
      </c>
      <c r="H5" s="32">
        <v>5553335555</v>
      </c>
      <c r="I5" s="8" t="s">
        <v>96</v>
      </c>
    </row>
    <row r="6" spans="1:9" ht="16" thickBot="1" x14ac:dyDescent="0.25">
      <c r="A6" s="1" t="s">
        <v>36</v>
      </c>
      <c r="B6" s="1" t="s">
        <v>97</v>
      </c>
      <c r="C6" s="1" t="s">
        <v>98</v>
      </c>
      <c r="D6" s="1" t="s">
        <v>99</v>
      </c>
      <c r="E6" s="1" t="s">
        <v>100</v>
      </c>
      <c r="F6" s="4">
        <v>87714</v>
      </c>
      <c r="G6" s="32">
        <v>5556664444</v>
      </c>
      <c r="H6" s="32">
        <v>5553333333</v>
      </c>
      <c r="I6" s="8" t="s">
        <v>101</v>
      </c>
    </row>
    <row r="7" spans="1:9" ht="16" thickBot="1" x14ac:dyDescent="0.25">
      <c r="A7" s="1" t="s">
        <v>49</v>
      </c>
      <c r="B7" s="1" t="s">
        <v>102</v>
      </c>
      <c r="C7" s="1" t="s">
        <v>103</v>
      </c>
      <c r="D7" s="1" t="s">
        <v>104</v>
      </c>
      <c r="E7" s="1" t="s">
        <v>105</v>
      </c>
      <c r="F7" s="4">
        <v>75201</v>
      </c>
      <c r="G7" s="32">
        <v>5557771111</v>
      </c>
      <c r="H7" s="32">
        <v>5553335343</v>
      </c>
      <c r="I7" s="8" t="s">
        <v>106</v>
      </c>
    </row>
    <row r="8" spans="1:9" ht="16" thickBot="1" x14ac:dyDescent="0.25">
      <c r="A8" s="1" t="s">
        <v>107</v>
      </c>
      <c r="B8" s="1" t="s">
        <v>108</v>
      </c>
      <c r="C8" s="1" t="s">
        <v>109</v>
      </c>
      <c r="D8" s="1" t="s">
        <v>110</v>
      </c>
      <c r="E8" s="1" t="s">
        <v>111</v>
      </c>
      <c r="F8" s="4">
        <v>30049</v>
      </c>
      <c r="G8" s="32">
        <v>5557779999</v>
      </c>
      <c r="H8" s="32">
        <v>5552222222</v>
      </c>
      <c r="I8" s="8" t="s">
        <v>112</v>
      </c>
    </row>
    <row r="9" spans="1:9" x14ac:dyDescent="0.2">
      <c r="A9" s="11" t="s">
        <v>65</v>
      </c>
      <c r="B9" s="11" t="s">
        <v>113</v>
      </c>
      <c r="C9" s="11" t="s">
        <v>114</v>
      </c>
      <c r="D9" s="11" t="s">
        <v>115</v>
      </c>
      <c r="E9" s="11" t="s">
        <v>116</v>
      </c>
      <c r="F9" s="30">
        <v>22307</v>
      </c>
      <c r="G9" s="33">
        <v>5556660001</v>
      </c>
      <c r="H9" s="33">
        <v>5553335553</v>
      </c>
      <c r="I9" s="12" t="s">
        <v>117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tabSelected="1" workbookViewId="0">
      <selection activeCell="P20" sqref="P20"/>
    </sheetView>
  </sheetViews>
  <sheetFormatPr baseColWidth="10" defaultColWidth="8.83203125" defaultRowHeight="15" x14ac:dyDescent="0.2"/>
  <cols>
    <col min="1" max="1" width="17.83203125" customWidth="1"/>
    <col min="2" max="2" width="19" customWidth="1"/>
    <col min="3" max="3" width="17.1640625" customWidth="1"/>
    <col min="4" max="4" width="17.6640625" customWidth="1"/>
  </cols>
  <sheetData>
    <row r="1" spans="1:4" ht="23" customHeight="1" x14ac:dyDescent="0.2">
      <c r="A1" s="34" t="s">
        <v>126</v>
      </c>
      <c r="B1" s="34"/>
      <c r="C1" s="34"/>
      <c r="D1" s="43"/>
    </row>
    <row r="2" spans="1:4" ht="16" thickBot="1" x14ac:dyDescent="0.25"/>
    <row r="3" spans="1:4" ht="16" thickBot="1" x14ac:dyDescent="0.25">
      <c r="A3" s="35" t="s">
        <v>3</v>
      </c>
      <c r="B3" s="38" t="s">
        <v>79</v>
      </c>
      <c r="C3" s="35" t="s">
        <v>124</v>
      </c>
    </row>
    <row r="4" spans="1:4" ht="16" thickBot="1" x14ac:dyDescent="0.25">
      <c r="A4" s="42" t="s">
        <v>10</v>
      </c>
      <c r="B4" s="36" t="s">
        <v>87</v>
      </c>
      <c r="C4" s="39">
        <f>SUMIF(Inventory!$D$4:$D$37, A4, Inventory!$J$4:$J$37)</f>
        <v>221.95</v>
      </c>
    </row>
    <row r="5" spans="1:4" ht="16" thickBot="1" x14ac:dyDescent="0.25">
      <c r="A5" s="41" t="s">
        <v>25</v>
      </c>
      <c r="B5" s="37" t="s">
        <v>92</v>
      </c>
      <c r="C5" s="40">
        <f>SUMIF(Inventory!$D$4:$D$37, A5, Inventory!$J$4:$J$37)</f>
        <v>194.93</v>
      </c>
    </row>
    <row r="6" spans="1:4" ht="16" thickBot="1" x14ac:dyDescent="0.25">
      <c r="A6" s="42" t="s">
        <v>36</v>
      </c>
      <c r="B6" s="36" t="s">
        <v>97</v>
      </c>
      <c r="C6" s="39">
        <f>SUMIF(Inventory!$D$4:$D$37, A6, Inventory!$J$4:$J$37)</f>
        <v>404.15</v>
      </c>
    </row>
    <row r="7" spans="1:4" ht="16" thickBot="1" x14ac:dyDescent="0.25">
      <c r="A7" s="41" t="s">
        <v>49</v>
      </c>
      <c r="B7" s="41" t="s">
        <v>102</v>
      </c>
      <c r="C7" s="40">
        <f>SUMIF(Inventory!$D$4:$D$37, A7, Inventory!$J$4:$J$37)</f>
        <v>322.7</v>
      </c>
    </row>
    <row r="8" spans="1:4" ht="16" thickBot="1" x14ac:dyDescent="0.25">
      <c r="A8" s="42" t="s">
        <v>107</v>
      </c>
      <c r="B8" s="42" t="s">
        <v>108</v>
      </c>
      <c r="C8" s="39">
        <f>SUMIF(Inventory!$D$4:$D$37, A8, Inventory!$J$4:$J$37)</f>
        <v>0</v>
      </c>
    </row>
    <row r="9" spans="1:4" ht="16" thickBot="1" x14ac:dyDescent="0.25">
      <c r="A9" s="41" t="s">
        <v>65</v>
      </c>
      <c r="B9" s="41" t="s">
        <v>113</v>
      </c>
      <c r="C9" s="40">
        <f>SUMIF(Inventory!$D$4:$D$37, A9, Inventory!$J$4:$J$37)</f>
        <v>481.79999999999995</v>
      </c>
    </row>
    <row r="10" spans="1:4" ht="16" thickBot="1" x14ac:dyDescent="0.25">
      <c r="A10" s="3" t="s">
        <v>122</v>
      </c>
      <c r="B10" s="41"/>
      <c r="C10" s="40">
        <f>SUM(C4:C9)</f>
        <v>1625.53</v>
      </c>
    </row>
  </sheetData>
  <mergeCells count="1">
    <mergeCell ref="A1:C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</vt:lpstr>
      <vt:lpstr>Suppliers</vt:lpstr>
      <vt:lpstr>Inventory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Newcomb</dc:creator>
  <cp:lastModifiedBy>Bri Boucher</cp:lastModifiedBy>
  <dcterms:created xsi:type="dcterms:W3CDTF">2018-10-31T13:24:56Z</dcterms:created>
  <dcterms:modified xsi:type="dcterms:W3CDTF">2025-11-10T21:52:39Z</dcterms:modified>
</cp:coreProperties>
</file>
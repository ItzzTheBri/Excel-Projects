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showInkAnnotation="0" hidePivotFieldList="1" defaultThemeVersion="123820"/>
  <mc:AlternateContent xmlns:mc="http://schemas.openxmlformats.org/markup-compatibility/2006">
    <mc:Choice Requires="x15">
      <x15ac:absPath xmlns:x15ac="http://schemas.microsoft.com/office/spreadsheetml/2010/11/ac" url="/Users/ItzzT/Library/Mobile Documents/com~apple~CloudDocs/Homework Assignments/"/>
    </mc:Choice>
  </mc:AlternateContent>
  <xr:revisionPtr revIDLastSave="0" documentId="8_{E64A2460-7069-0442-9F1F-51E935FBA591}" xr6:coauthVersionLast="47" xr6:coauthVersionMax="47" xr10:uidLastSave="{00000000-0000-0000-0000-000000000000}"/>
  <bookViews>
    <workbookView xWindow="0" yWindow="500" windowWidth="28800" windowHeight="16020" activeTab="1" xr2:uid="{00000000-000D-0000-FFFF-FFFF00000000}"/>
  </bookViews>
  <sheets>
    <sheet name="January Data" sheetId="4" r:id="rId1"/>
    <sheet name="Sheet 2" sheetId="5" r:id="rId2"/>
  </sheets>
  <definedNames>
    <definedName name="_xlnm._FilterDatabase" localSheetId="0" hidden="1">'January Data'!$A$5:$H$74</definedName>
    <definedName name="_xlnm.Database">#REF!</definedName>
    <definedName name="FilterData">#REF!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6" i="5" l="1"/>
  <c r="J21" i="5"/>
  <c r="J33" i="5"/>
  <c r="J45" i="5"/>
  <c r="J69" i="5"/>
  <c r="I6" i="5"/>
  <c r="J6" i="5" s="1"/>
  <c r="I7" i="5"/>
  <c r="J7" i="5" s="1"/>
  <c r="I8" i="5"/>
  <c r="J8" i="5" s="1"/>
  <c r="I9" i="5"/>
  <c r="J9" i="5" s="1"/>
  <c r="I10" i="5"/>
  <c r="J10" i="5" s="1"/>
  <c r="I11" i="5"/>
  <c r="J11" i="5" s="1"/>
  <c r="I12" i="5"/>
  <c r="J12" i="5" s="1"/>
  <c r="I13" i="5"/>
  <c r="J13" i="5" s="1"/>
  <c r="I14" i="5"/>
  <c r="J14" i="5" s="1"/>
  <c r="I15" i="5"/>
  <c r="J15" i="5" s="1"/>
  <c r="I16" i="5"/>
  <c r="J16" i="5" s="1"/>
  <c r="I17" i="5"/>
  <c r="J17" i="5" s="1"/>
  <c r="I18" i="5"/>
  <c r="J18" i="5" s="1"/>
  <c r="I19" i="5"/>
  <c r="J19" i="5" s="1"/>
  <c r="I20" i="5"/>
  <c r="J20" i="5" s="1"/>
  <c r="I21" i="5"/>
  <c r="I22" i="5"/>
  <c r="J22" i="5" s="1"/>
  <c r="I23" i="5"/>
  <c r="J23" i="5" s="1"/>
  <c r="I24" i="5"/>
  <c r="J24" i="5" s="1"/>
  <c r="I25" i="5"/>
  <c r="J25" i="5" s="1"/>
  <c r="I26" i="5"/>
  <c r="J26" i="5" s="1"/>
  <c r="I27" i="5"/>
  <c r="J27" i="5" s="1"/>
  <c r="I28" i="5"/>
  <c r="J28" i="5" s="1"/>
  <c r="I29" i="5"/>
  <c r="J29" i="5" s="1"/>
  <c r="I30" i="5"/>
  <c r="J30" i="5" s="1"/>
  <c r="I31" i="5"/>
  <c r="J31" i="5" s="1"/>
  <c r="I32" i="5"/>
  <c r="J32" i="5" s="1"/>
  <c r="I33" i="5"/>
  <c r="I34" i="5"/>
  <c r="J34" i="5" s="1"/>
  <c r="I35" i="5"/>
  <c r="J35" i="5" s="1"/>
  <c r="I36" i="5"/>
  <c r="J36" i="5" s="1"/>
  <c r="I37" i="5"/>
  <c r="J37" i="5" s="1"/>
  <c r="I38" i="5"/>
  <c r="J38" i="5" s="1"/>
  <c r="I39" i="5"/>
  <c r="J39" i="5" s="1"/>
  <c r="I40" i="5"/>
  <c r="J40" i="5" s="1"/>
  <c r="I41" i="5"/>
  <c r="J41" i="5" s="1"/>
  <c r="I42" i="5"/>
  <c r="J42" i="5" s="1"/>
  <c r="I43" i="5"/>
  <c r="J43" i="5" s="1"/>
  <c r="I44" i="5"/>
  <c r="J44" i="5" s="1"/>
  <c r="I45" i="5"/>
  <c r="I46" i="5"/>
  <c r="J46" i="5" s="1"/>
  <c r="I47" i="5"/>
  <c r="J47" i="5" s="1"/>
  <c r="I48" i="5"/>
  <c r="J48" i="5" s="1"/>
  <c r="I49" i="5"/>
  <c r="J49" i="5" s="1"/>
  <c r="I50" i="5"/>
  <c r="J50" i="5" s="1"/>
  <c r="I51" i="5"/>
  <c r="J51" i="5" s="1"/>
  <c r="I52" i="5"/>
  <c r="J52" i="5" s="1"/>
  <c r="I53" i="5"/>
  <c r="J53" i="5" s="1"/>
  <c r="I54" i="5"/>
  <c r="J54" i="5" s="1"/>
  <c r="I55" i="5"/>
  <c r="J55" i="5" s="1"/>
  <c r="I56" i="5"/>
  <c r="J56" i="5" s="1"/>
  <c r="I57" i="5"/>
  <c r="J57" i="5" s="1"/>
  <c r="I58" i="5"/>
  <c r="J58" i="5" s="1"/>
  <c r="I59" i="5"/>
  <c r="J59" i="5" s="1"/>
  <c r="I60" i="5"/>
  <c r="J60" i="5" s="1"/>
  <c r="I61" i="5"/>
  <c r="J61" i="5" s="1"/>
  <c r="I62" i="5"/>
  <c r="J62" i="5" s="1"/>
  <c r="I63" i="5"/>
  <c r="J63" i="5" s="1"/>
  <c r="I64" i="5"/>
  <c r="J64" i="5" s="1"/>
  <c r="I65" i="5"/>
  <c r="J65" i="5" s="1"/>
  <c r="I66" i="5"/>
  <c r="J66" i="5" s="1"/>
  <c r="I67" i="5"/>
  <c r="J67" i="5" s="1"/>
  <c r="I68" i="5"/>
  <c r="J68" i="5" s="1"/>
  <c r="I69" i="5"/>
  <c r="I70" i="5"/>
  <c r="J70" i="5" s="1"/>
  <c r="I71" i="5"/>
  <c r="J71" i="5" s="1"/>
  <c r="I72" i="5"/>
  <c r="J72" i="5" s="1"/>
  <c r="I73" i="5"/>
  <c r="J73" i="5" s="1"/>
  <c r="I74" i="5"/>
  <c r="J74" i="5" s="1"/>
  <c r="I75" i="5"/>
  <c r="J75" i="5" s="1"/>
  <c r="J76" i="5" l="1"/>
  <c r="I76" i="5"/>
</calcChain>
</file>

<file path=xl/sharedStrings.xml><?xml version="1.0" encoding="utf-8"?>
<sst xmlns="http://schemas.openxmlformats.org/spreadsheetml/2006/main" count="860" uniqueCount="169">
  <si>
    <t>The Spa Experts</t>
  </si>
  <si>
    <t>Manufacturer</t>
  </si>
  <si>
    <t>Port-a-Spa</t>
  </si>
  <si>
    <t>The Original Hot Tub</t>
  </si>
  <si>
    <t>Finance</t>
  </si>
  <si>
    <t>Amount</t>
  </si>
  <si>
    <t>Standard</t>
  </si>
  <si>
    <t>Promotion</t>
  </si>
  <si>
    <t>Date</t>
  </si>
  <si>
    <t>Monthly Transactions</t>
  </si>
  <si>
    <t>Paid in Full</t>
  </si>
  <si>
    <t>Transaction</t>
  </si>
  <si>
    <t>Payment Type</t>
  </si>
  <si>
    <t>Transaction Number</t>
  </si>
  <si>
    <t>Deanne</t>
  </si>
  <si>
    <t>McGuire</t>
  </si>
  <si>
    <t>Grant</t>
  </si>
  <si>
    <t>Ingersoll</t>
  </si>
  <si>
    <t>Oleta</t>
  </si>
  <si>
    <t>Fairbanks</t>
  </si>
  <si>
    <t>Seth</t>
  </si>
  <si>
    <t>Prescott</t>
  </si>
  <si>
    <t>Down Payment Requirement:</t>
  </si>
  <si>
    <t>Sales Rep First Name</t>
  </si>
  <si>
    <t>Sales Rep Last Name</t>
  </si>
  <si>
    <t>Owed</t>
  </si>
  <si>
    <t>Down Payment</t>
  </si>
  <si>
    <t>2022-001</t>
  </si>
  <si>
    <t>2022-002</t>
  </si>
  <si>
    <t>2022-003</t>
  </si>
  <si>
    <t>2022-004</t>
  </si>
  <si>
    <t>2022-005</t>
  </si>
  <si>
    <t>2022-006</t>
  </si>
  <si>
    <t>2022-007</t>
  </si>
  <si>
    <t>2022-008</t>
  </si>
  <si>
    <t>2022-009</t>
  </si>
  <si>
    <t>2022-010</t>
  </si>
  <si>
    <t>2022-011</t>
  </si>
  <si>
    <t>2022-012</t>
  </si>
  <si>
    <t>2022-013</t>
  </si>
  <si>
    <t>2022-014</t>
  </si>
  <si>
    <t>2022-015</t>
  </si>
  <si>
    <t>2022-016</t>
  </si>
  <si>
    <t>2022-017</t>
  </si>
  <si>
    <t>2022-018</t>
  </si>
  <si>
    <t>2022-019</t>
  </si>
  <si>
    <t>2022-020</t>
  </si>
  <si>
    <t>2022-021</t>
  </si>
  <si>
    <t>2022-022</t>
  </si>
  <si>
    <t>2022-023</t>
  </si>
  <si>
    <t>2022-024</t>
  </si>
  <si>
    <t>2022-025</t>
  </si>
  <si>
    <t>2022-026</t>
  </si>
  <si>
    <t>2022-027</t>
  </si>
  <si>
    <t>2022-028</t>
  </si>
  <si>
    <t>2022-029</t>
  </si>
  <si>
    <t>2022-031</t>
  </si>
  <si>
    <t>2022-032</t>
  </si>
  <si>
    <t>2022-033</t>
  </si>
  <si>
    <t>2022-034</t>
  </si>
  <si>
    <t>2022-035</t>
  </si>
  <si>
    <t>2022-036</t>
  </si>
  <si>
    <t>2022-037</t>
  </si>
  <si>
    <t>2022-038</t>
  </si>
  <si>
    <t>2022-039</t>
  </si>
  <si>
    <t>2022-040</t>
  </si>
  <si>
    <t>2022-041</t>
  </si>
  <si>
    <t>2022-042</t>
  </si>
  <si>
    <t>2022-043</t>
  </si>
  <si>
    <t>2022-044</t>
  </si>
  <si>
    <t>2022-045</t>
  </si>
  <si>
    <t>2022-046</t>
  </si>
  <si>
    <t>2022-047</t>
  </si>
  <si>
    <t>2022-048</t>
  </si>
  <si>
    <t>2022-049</t>
  </si>
  <si>
    <t>2022-050</t>
  </si>
  <si>
    <t>2022-051</t>
  </si>
  <si>
    <t>2022-052</t>
  </si>
  <si>
    <t>2022-053</t>
  </si>
  <si>
    <t>2022-054</t>
  </si>
  <si>
    <t>2022-055</t>
  </si>
  <si>
    <t>2022-056</t>
  </si>
  <si>
    <t>2022-057</t>
  </si>
  <si>
    <t>2022-058</t>
  </si>
  <si>
    <t>2022-059</t>
  </si>
  <si>
    <t>2022-060</t>
  </si>
  <si>
    <t>2022-061</t>
  </si>
  <si>
    <t>2022-062</t>
  </si>
  <si>
    <t>2022-063</t>
  </si>
  <si>
    <t>2022-064</t>
  </si>
  <si>
    <t>2022-065</t>
  </si>
  <si>
    <t>2022-066</t>
  </si>
  <si>
    <t>2022-067</t>
  </si>
  <si>
    <t>2022-068</t>
  </si>
  <si>
    <t>2022-069</t>
  </si>
  <si>
    <t>2022-070</t>
  </si>
  <si>
    <t>2022-030</t>
  </si>
  <si>
    <t>Serinity Spas</t>
  </si>
  <si>
    <t>2025-002</t>
  </si>
  <si>
    <t>2025-003</t>
  </si>
  <si>
    <t>2025-004</t>
  </si>
  <si>
    <t>2025-005</t>
  </si>
  <si>
    <t>2025-006</t>
  </si>
  <si>
    <t>2025-007</t>
  </si>
  <si>
    <t>2025-008</t>
  </si>
  <si>
    <t>2025-009</t>
  </si>
  <si>
    <t>2025-010</t>
  </si>
  <si>
    <t>2025-011</t>
  </si>
  <si>
    <t>2025-012</t>
  </si>
  <si>
    <t>2025-013</t>
  </si>
  <si>
    <t>2025-014</t>
  </si>
  <si>
    <t>2025-015</t>
  </si>
  <si>
    <t>2025-016</t>
  </si>
  <si>
    <t>2025-017</t>
  </si>
  <si>
    <t>2025-018</t>
  </si>
  <si>
    <t>2025-019</t>
  </si>
  <si>
    <t>2025-020</t>
  </si>
  <si>
    <t>2025-021</t>
  </si>
  <si>
    <t>2025-022</t>
  </si>
  <si>
    <t>2025-023</t>
  </si>
  <si>
    <t>2025-024</t>
  </si>
  <si>
    <t>2025-025</t>
  </si>
  <si>
    <t>2025-026</t>
  </si>
  <si>
    <t>2025-027</t>
  </si>
  <si>
    <t>2025-028</t>
  </si>
  <si>
    <t>2025-029</t>
  </si>
  <si>
    <t>2025-031</t>
  </si>
  <si>
    <t>2025-032</t>
  </si>
  <si>
    <t>2025-033</t>
  </si>
  <si>
    <t>2025-034</t>
  </si>
  <si>
    <t>2025-035</t>
  </si>
  <si>
    <t>2025-036</t>
  </si>
  <si>
    <t>2025-037</t>
  </si>
  <si>
    <t>2025-038</t>
  </si>
  <si>
    <t>2025-039</t>
  </si>
  <si>
    <t>2025-040</t>
  </si>
  <si>
    <t>2025-041</t>
  </si>
  <si>
    <t>2025-042</t>
  </si>
  <si>
    <t>2025-043</t>
  </si>
  <si>
    <t>2025-044</t>
  </si>
  <si>
    <t>2025-045</t>
  </si>
  <si>
    <t>2025-046</t>
  </si>
  <si>
    <t>2025-047</t>
  </si>
  <si>
    <t>2025-048</t>
  </si>
  <si>
    <t>2025-049</t>
  </si>
  <si>
    <t>2025-050</t>
  </si>
  <si>
    <t>2025-051</t>
  </si>
  <si>
    <t>2025-052</t>
  </si>
  <si>
    <t>2025-053</t>
  </si>
  <si>
    <t>2025-054</t>
  </si>
  <si>
    <t>2025-055</t>
  </si>
  <si>
    <t>2025-056</t>
  </si>
  <si>
    <t>2025-057</t>
  </si>
  <si>
    <t>2025-058</t>
  </si>
  <si>
    <t>2025-059</t>
  </si>
  <si>
    <t>2025-060</t>
  </si>
  <si>
    <t>2025-061</t>
  </si>
  <si>
    <t>2025-062</t>
  </si>
  <si>
    <t>2025-063</t>
  </si>
  <si>
    <t>2025-064</t>
  </si>
  <si>
    <t>2025-065</t>
  </si>
  <si>
    <t>2025-066</t>
  </si>
  <si>
    <t>2025-067</t>
  </si>
  <si>
    <t>2025-068</t>
  </si>
  <si>
    <t>2025-069</t>
  </si>
  <si>
    <t>2025-070</t>
  </si>
  <si>
    <t>Brianna Boucher</t>
  </si>
  <si>
    <t>2025-030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</si>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</sst>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m/d/yyyy;@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Comic Sans MS"/>
      <family val="4"/>
    </font>
    <font>
      <sz val="11"/>
      <name val="Comic Sans MS"/>
      <family val="4"/>
    </font>
    <font>
      <b/>
      <sz val="22"/>
      <color theme="0"/>
      <name val="Comic Sans MS"/>
      <family val="4"/>
    </font>
    <font>
      <sz val="11"/>
      <color theme="3" tint="-0.249977111117893"/>
      <name val="Comic Sans MS"/>
      <family val="4"/>
    </font>
    <font>
      <sz val="22"/>
      <color theme="0"/>
      <name val="Comic Sans MS"/>
      <family val="4"/>
    </font>
    <font>
      <b/>
      <sz val="11"/>
      <color theme="3" tint="-0.249977111117893"/>
      <name val="Comic Sans MS"/>
      <family val="4"/>
    </font>
    <font>
      <b/>
      <sz val="14"/>
      <color theme="1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C3E4B8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9" fontId="3" fillId="0" borderId="0" xfId="2" applyFont="1" applyAlignment="1"/>
    <xf numFmtId="164" fontId="3" fillId="0" borderId="0" xfId="1" applyNumberFormat="1" applyFont="1" applyAlignment="1"/>
    <xf numFmtId="0" fontId="4" fillId="0" borderId="0" xfId="0" applyFont="1"/>
    <xf numFmtId="9" fontId="4" fillId="0" borderId="0" xfId="2" applyFont="1" applyAlignment="1"/>
    <xf numFmtId="164" fontId="4" fillId="0" borderId="0" xfId="1" applyNumberFormat="1" applyFont="1" applyAlignment="1"/>
    <xf numFmtId="164" fontId="2" fillId="0" borderId="0" xfId="1" applyNumberFormat="1" applyFont="1" applyFill="1" applyBorder="1" applyAlignment="1">
      <alignment horizontal="center"/>
    </xf>
    <xf numFmtId="0" fontId="2" fillId="0" borderId="0" xfId="2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4" fillId="0" borderId="0" xfId="1" applyNumberFormat="1" applyFont="1"/>
    <xf numFmtId="164" fontId="3" fillId="0" borderId="0" xfId="1" applyNumberFormat="1" applyFont="1"/>
    <xf numFmtId="164" fontId="0" fillId="0" borderId="0" xfId="1" applyNumberFormat="1" applyFont="1"/>
    <xf numFmtId="164" fontId="2" fillId="0" borderId="0" xfId="1" applyNumberFormat="1" applyFont="1" applyFill="1" applyBorder="1" applyAlignment="1">
      <alignment horizontal="center" wrapText="1"/>
    </xf>
    <xf numFmtId="0" fontId="1" fillId="0" borderId="0" xfId="0" applyFont="1"/>
    <xf numFmtId="9" fontId="1" fillId="0" borderId="0" xfId="2" applyFont="1" applyAlignment="1"/>
    <xf numFmtId="164" fontId="1" fillId="0" borderId="0" xfId="1" applyNumberFormat="1" applyFont="1" applyAlignment="1"/>
    <xf numFmtId="165" fontId="3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1" applyNumberFormat="1" applyFont="1"/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left"/>
    </xf>
    <xf numFmtId="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4" fontId="0" fillId="0" borderId="0" xfId="1" applyFont="1"/>
    <xf numFmtId="44" fontId="4" fillId="0" borderId="0" xfId="1" applyFont="1"/>
    <xf numFmtId="44" fontId="1" fillId="0" borderId="0" xfId="1" applyFont="1"/>
    <xf numFmtId="44" fontId="3" fillId="0" borderId="0" xfId="1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2" fillId="3" borderId="0" xfId="0" applyFont="1" applyFill="1" applyAlignment="1">
      <alignment horizontal="left" wrapText="1"/>
    </xf>
    <xf numFmtId="164" fontId="2" fillId="3" borderId="0" xfId="1" applyNumberFormat="1" applyFont="1" applyFill="1" applyBorder="1" applyAlignment="1">
      <alignment horizontal="center"/>
    </xf>
    <xf numFmtId="164" fontId="2" fillId="3" borderId="0" xfId="1" applyNumberFormat="1" applyFont="1" applyFill="1" applyBorder="1" applyAlignment="1">
      <alignment horizontal="center" wrapText="1"/>
    </xf>
    <xf numFmtId="0" fontId="2" fillId="3" borderId="0" xfId="2" applyNumberFormat="1" applyFont="1" applyFill="1" applyBorder="1" applyAlignment="1">
      <alignment horizontal="center"/>
    </xf>
    <xf numFmtId="164" fontId="2" fillId="3" borderId="0" xfId="1" applyNumberFormat="1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44" fontId="0" fillId="0" borderId="0" xfId="0" applyNumberFormat="1"/>
    <xf numFmtId="0" fontId="1" fillId="0" borderId="0" xfId="0" applyFont="1" applyAlignment="1"/>
    <xf numFmtId="0" fontId="1" fillId="0" borderId="0" xfId="0" applyNumberFormat="1" applyFont="1" applyAlignment="1"/>
    <xf numFmtId="44" fontId="1" fillId="0" borderId="0" xfId="0" applyNumberFormat="1" applyFont="1"/>
    <xf numFmtId="164" fontId="1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(&quot;$&quot;* #,##0_);_(&quot;$&quot;* \(#,##0\);_(&quot;$&quot;* &quot;-&quot;??_);_(@_)"/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m/d/yyyy;@"/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&quot;$&quot;* #,##0_);_(&quot;$&quot;* \(#,##0\);_(&quot;$&quot;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m/d/yy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9" defaultPivotStyle="PivotStyleLight16"/>
  <colors>
    <mruColors>
      <color rgb="FFC3E4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97A98A-F4A6-9E49-A15C-232C8BCE3BC6}" name="Table2" displayName="Table2" ref="A5:H74">
  <autoFilter ref="A5:H74" xr:uid="{4D97A98A-F4A6-9E49-A15C-232C8BCE3BC6}">
    <filterColumn colId="1">
      <customFilters and="1">
        <customFilter operator="greaterThan" val="45679"/>
        <customFilter operator="lessThan" val="45685"/>
      </customFilters>
    </filterColumn>
    <filterColumn colId="3">
      <filters>
        <filter val="McGuire"/>
      </filters>
    </filterColumn>
    <filterColumn colId="4">
      <filters>
        <filter val="Port-a-Spa"/>
        <filter val="The Original Hot Tub"/>
      </filters>
    </filterColumn>
    <filterColumn colId="7">
      <customFilters>
        <customFilter operator="greaterThanOrEqual" val="10000"/>
      </customFilters>
    </filterColumn>
  </autoFilter>
  <sortState xmlns:xlrd2="http://schemas.microsoft.com/office/spreadsheetml/2017/richdata2" ref="A6:H74">
    <sortCondition ref="F6:F74"/>
    <sortCondition ref="A6:A74"/>
    <sortCondition descending="1" ref="H6:H74"/>
  </sortState>
  <tableColumns count="8">
    <tableColumn id="1" xr3:uid="{8E6CDED8-6563-A543-B3F7-4D677C9AF408}" name="Transaction Number" totalsRowLabel="Total" dataDxfId="35" totalsRowDxfId="34"/>
    <tableColumn id="2" xr3:uid="{7C530603-010F-B848-8512-736A45E22951}" name="Date" dataDxfId="33" totalsRowDxfId="32"/>
    <tableColumn id="4" xr3:uid="{F40929D2-7042-414D-82CC-BDC425EEA28A}" name="Sales Rep First Name" dataDxfId="31" totalsRowDxfId="30"/>
    <tableColumn id="5" xr3:uid="{1E10BCD4-A0E4-9B43-9F5E-275217033784}" name="Sales Rep Last Name" dataDxfId="29" totalsRowDxfId="28"/>
    <tableColumn id="6" xr3:uid="{F02ECFBC-AD0D-8944-9B26-83BA1DB80FD9}" name="Manufacturer" dataDxfId="27" totalsRowDxfId="26"/>
    <tableColumn id="7" xr3:uid="{05A8E89D-408A-2744-AFCB-6C2398DB8944}" name="Payment Type" dataDxfId="25" totalsRowDxfId="24" dataCellStyle="Percent"/>
    <tableColumn id="8" xr3:uid="{A85B1D53-19F8-F24D-B3E1-5D2A69606FC0}" name="Transaction" dataDxfId="23" totalsRowDxfId="22" dataCellStyle="Currency"/>
    <tableColumn id="9" xr3:uid="{1E6BBD11-29A4-1246-9F2E-6A76B95C3547}" name="Amount" totalsRowFunction="sum" dataDxfId="21" totalsRowDxfId="20" dataCellStyle="Currenc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J76" totalsRowCount="1">
  <autoFilter ref="A5:J75" xr:uid="{00000000-0009-0000-0100-000001000000}">
    <filterColumn colId="3">
      <filters>
        <filter val="McGuire"/>
      </filters>
    </filterColumn>
  </autoFilter>
  <tableColumns count="10">
    <tableColumn id="1" xr3:uid="{00000000-0010-0000-0000-000001000000}" name="Transaction Number" totalsRowLabel="Total" dataDxfId="19" totalsRowDxfId="9"/>
    <tableColumn id="2" xr3:uid="{00000000-0010-0000-0000-000002000000}" name="Date" dataDxfId="18" totalsRowDxfId="8"/>
    <tableColumn id="4" xr3:uid="{00000000-0010-0000-0000-000004000000}" name="Sales Rep First Name" dataDxfId="17" totalsRowDxfId="7"/>
    <tableColumn id="5" xr3:uid="{00000000-0010-0000-0000-000005000000}" name="Sales Rep Last Name" dataDxfId="16" totalsRowDxfId="6"/>
    <tableColumn id="6" xr3:uid="{00000000-0010-0000-0000-000006000000}" name="Manufacturer" dataDxfId="15" totalsRowDxfId="5"/>
    <tableColumn id="7" xr3:uid="{00000000-0010-0000-0000-000007000000}" name="Payment Type" dataDxfId="14" totalsRowDxfId="4" dataCellStyle="Percent"/>
    <tableColumn id="8" xr3:uid="{00000000-0010-0000-0000-000008000000}" name="Transaction" dataDxfId="13" totalsRowDxfId="3" dataCellStyle="Currency"/>
    <tableColumn id="9" xr3:uid="{00000000-0010-0000-0000-000009000000}" name="Amount" totalsRowFunction="sum" dataDxfId="12" totalsRowDxfId="0" dataCellStyle="Currency"/>
    <tableColumn id="10" xr3:uid="{00000000-0010-0000-0000-00000A000000}" name="Down Payment" totalsRowFunction="sum" dataDxfId="11" totalsRowDxfId="1" dataCellStyle="Currency">
      <calculatedColumnFormula>IF(F6="Paid in Full", H6, H6 * $C$3)</calculatedColumnFormula>
    </tableColumn>
    <tableColumn id="11" xr3:uid="{00000000-0010-0000-0000-00000B000000}" name="Owed" totalsRowFunction="sum" dataDxfId="10" totalsRowDxfId="2" dataCellStyle="Currency">
      <calculatedColumnFormula>H6-I6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opLeftCell="A2" zoomScale="102" workbookViewId="0">
      <selection activeCell="D17" sqref="D17"/>
    </sheetView>
  </sheetViews>
  <sheetFormatPr baseColWidth="10" defaultColWidth="8.83203125" defaultRowHeight="13" x14ac:dyDescent="0.15"/>
  <cols>
    <col min="1" max="1" width="20" customWidth="1"/>
    <col min="2" max="2" width="12.1640625" customWidth="1"/>
    <col min="3" max="3" width="19.6640625" style="27" customWidth="1"/>
    <col min="4" max="4" width="22.1640625" customWidth="1"/>
    <col min="5" max="5" width="22" customWidth="1"/>
    <col min="6" max="6" width="18.1640625" bestFit="1" customWidth="1"/>
    <col min="7" max="7" width="16.1640625" customWidth="1"/>
    <col min="8" max="8" width="14.1640625" customWidth="1"/>
    <col min="9" max="10" width="11.6640625" customWidth="1"/>
    <col min="11" max="11" width="11.5" customWidth="1"/>
  </cols>
  <sheetData>
    <row r="1" spans="1:11" ht="18" customHeight="1" x14ac:dyDescent="0.15">
      <c r="A1" s="42" t="s">
        <v>0</v>
      </c>
      <c r="B1" s="42"/>
      <c r="C1" s="42"/>
      <c r="D1" s="42"/>
      <c r="E1" s="42"/>
      <c r="F1" s="42"/>
      <c r="G1" s="42"/>
      <c r="H1" s="42"/>
      <c r="I1" s="34"/>
      <c r="J1" s="34"/>
    </row>
    <row r="2" spans="1:11" ht="17" x14ac:dyDescent="0.25">
      <c r="A2" s="41" t="s">
        <v>9</v>
      </c>
      <c r="B2" s="41"/>
      <c r="C2" s="41"/>
      <c r="D2" s="41"/>
      <c r="E2" s="41"/>
      <c r="F2" s="41"/>
      <c r="G2" s="41"/>
      <c r="H2" s="41"/>
      <c r="I2" s="33"/>
      <c r="J2" s="33"/>
      <c r="K2" s="33"/>
    </row>
    <row r="3" spans="1:11" ht="17" x14ac:dyDescent="0.25">
      <c r="A3" s="35" t="s">
        <v>22</v>
      </c>
      <c r="B3" s="25"/>
      <c r="C3" s="24">
        <v>0.25</v>
      </c>
      <c r="E3" s="25"/>
      <c r="F3" s="25"/>
      <c r="G3" s="25"/>
      <c r="H3" s="25"/>
      <c r="I3" s="25"/>
      <c r="J3" s="25"/>
      <c r="K3" s="25"/>
    </row>
    <row r="4" spans="1:11" ht="17" x14ac:dyDescent="0.25">
      <c r="A4" s="15" t="s">
        <v>166</v>
      </c>
      <c r="B4" s="10"/>
      <c r="C4" s="26"/>
      <c r="D4" s="9"/>
      <c r="E4" s="9"/>
      <c r="F4" s="9"/>
      <c r="G4" s="9"/>
      <c r="H4" s="9"/>
      <c r="I4" s="9"/>
    </row>
    <row r="5" spans="1:11" ht="27.75" customHeight="1" x14ac:dyDescent="0.15">
      <c r="A5" s="36" t="s">
        <v>13</v>
      </c>
      <c r="B5" s="40" t="s">
        <v>8</v>
      </c>
      <c r="C5" s="38" t="s">
        <v>23</v>
      </c>
      <c r="D5" s="38" t="s">
        <v>24</v>
      </c>
      <c r="E5" s="37" t="s">
        <v>1</v>
      </c>
      <c r="F5" s="38" t="s">
        <v>12</v>
      </c>
      <c r="G5" s="37" t="s">
        <v>11</v>
      </c>
      <c r="H5" s="39" t="s">
        <v>5</v>
      </c>
      <c r="I5" s="7"/>
    </row>
    <row r="6" spans="1:11" hidden="1" x14ac:dyDescent="0.15">
      <c r="A6" s="15" t="s">
        <v>98</v>
      </c>
      <c r="B6" s="18">
        <v>45658</v>
      </c>
      <c r="C6" s="4" t="s">
        <v>16</v>
      </c>
      <c r="D6" s="4" t="s">
        <v>17</v>
      </c>
      <c r="E6" s="4" t="s">
        <v>3</v>
      </c>
      <c r="F6" s="5" t="s">
        <v>4</v>
      </c>
      <c r="G6" s="6" t="s">
        <v>7</v>
      </c>
      <c r="H6" s="11">
        <v>12000</v>
      </c>
      <c r="I6" s="13"/>
    </row>
    <row r="7" spans="1:11" hidden="1" x14ac:dyDescent="0.15">
      <c r="A7" s="15" t="s">
        <v>99</v>
      </c>
      <c r="B7" s="18">
        <v>45659</v>
      </c>
      <c r="C7" s="15" t="s">
        <v>14</v>
      </c>
      <c r="D7" s="15" t="s">
        <v>15</v>
      </c>
      <c r="E7" s="15" t="s">
        <v>2</v>
      </c>
      <c r="F7" s="16" t="s">
        <v>4</v>
      </c>
      <c r="G7" s="17" t="s">
        <v>7</v>
      </c>
      <c r="H7" s="11">
        <v>3240</v>
      </c>
      <c r="I7" s="13"/>
    </row>
    <row r="8" spans="1:11" hidden="1" x14ac:dyDescent="0.15">
      <c r="A8" s="15" t="s">
        <v>100</v>
      </c>
      <c r="B8" s="18">
        <v>45659</v>
      </c>
      <c r="C8" s="15" t="s">
        <v>18</v>
      </c>
      <c r="D8" s="15" t="s">
        <v>19</v>
      </c>
      <c r="E8" s="15" t="s">
        <v>2</v>
      </c>
      <c r="F8" s="16" t="s">
        <v>4</v>
      </c>
      <c r="G8" s="17" t="s">
        <v>7</v>
      </c>
      <c r="H8" s="11">
        <v>4080</v>
      </c>
      <c r="I8" s="13"/>
    </row>
    <row r="9" spans="1:11" hidden="1" x14ac:dyDescent="0.15">
      <c r="A9" s="15" t="s">
        <v>101</v>
      </c>
      <c r="B9" s="18">
        <v>45659</v>
      </c>
      <c r="C9" s="4" t="s">
        <v>20</v>
      </c>
      <c r="D9" s="4" t="s">
        <v>21</v>
      </c>
      <c r="E9" s="4" t="s">
        <v>97</v>
      </c>
      <c r="F9" s="5" t="s">
        <v>4</v>
      </c>
      <c r="G9" s="6" t="s">
        <v>7</v>
      </c>
      <c r="H9" s="11">
        <v>5432</v>
      </c>
      <c r="I9" s="13"/>
    </row>
    <row r="10" spans="1:11" hidden="1" x14ac:dyDescent="0.15">
      <c r="A10" s="15" t="s">
        <v>102</v>
      </c>
      <c r="B10" s="18">
        <v>45660</v>
      </c>
      <c r="C10" s="15" t="s">
        <v>14</v>
      </c>
      <c r="D10" s="15" t="s">
        <v>15</v>
      </c>
      <c r="E10" s="15" t="s">
        <v>2</v>
      </c>
      <c r="F10" s="16" t="s">
        <v>4</v>
      </c>
      <c r="G10" s="17" t="s">
        <v>6</v>
      </c>
      <c r="H10" s="11">
        <v>6780</v>
      </c>
      <c r="I10" s="13"/>
    </row>
    <row r="11" spans="1:11" hidden="1" x14ac:dyDescent="0.15">
      <c r="A11" s="15" t="s">
        <v>103</v>
      </c>
      <c r="B11" s="18">
        <v>45660</v>
      </c>
      <c r="C11" s="15" t="s">
        <v>18</v>
      </c>
      <c r="D11" s="15" t="s">
        <v>19</v>
      </c>
      <c r="E11" s="15" t="s">
        <v>3</v>
      </c>
      <c r="F11" s="16" t="s">
        <v>4</v>
      </c>
      <c r="G11" s="17" t="s">
        <v>6</v>
      </c>
      <c r="H11" s="11">
        <v>5432</v>
      </c>
      <c r="I11" s="13"/>
    </row>
    <row r="12" spans="1:11" hidden="1" x14ac:dyDescent="0.15">
      <c r="A12" s="15" t="s">
        <v>106</v>
      </c>
      <c r="B12" s="18">
        <v>45661</v>
      </c>
      <c r="C12" s="15" t="s">
        <v>16</v>
      </c>
      <c r="D12" s="15" t="s">
        <v>17</v>
      </c>
      <c r="E12" s="15" t="s">
        <v>2</v>
      </c>
      <c r="F12" s="16" t="s">
        <v>4</v>
      </c>
      <c r="G12" s="17" t="s">
        <v>6</v>
      </c>
      <c r="H12" s="11">
        <v>10000</v>
      </c>
      <c r="I12" s="13"/>
    </row>
    <row r="13" spans="1:11" hidden="1" x14ac:dyDescent="0.15">
      <c r="A13" s="15" t="s">
        <v>107</v>
      </c>
      <c r="B13" s="18">
        <v>45661</v>
      </c>
      <c r="C13" s="15" t="s">
        <v>18</v>
      </c>
      <c r="D13" s="15" t="s">
        <v>19</v>
      </c>
      <c r="E13" s="15" t="s">
        <v>2</v>
      </c>
      <c r="F13" s="16" t="s">
        <v>4</v>
      </c>
      <c r="G13" s="17" t="s">
        <v>6</v>
      </c>
      <c r="H13" s="11">
        <v>10000</v>
      </c>
      <c r="I13" s="11"/>
    </row>
    <row r="14" spans="1:11" hidden="1" x14ac:dyDescent="0.15">
      <c r="A14" s="15" t="s">
        <v>114</v>
      </c>
      <c r="B14" s="18">
        <v>45662</v>
      </c>
      <c r="C14" s="15" t="s">
        <v>14</v>
      </c>
      <c r="D14" s="15" t="s">
        <v>15</v>
      </c>
      <c r="E14" s="15" t="s">
        <v>2</v>
      </c>
      <c r="F14" s="16" t="s">
        <v>4</v>
      </c>
      <c r="G14" s="17" t="s">
        <v>6</v>
      </c>
      <c r="H14" s="21">
        <v>7450</v>
      </c>
      <c r="I14" s="11"/>
    </row>
    <row r="15" spans="1:11" hidden="1" x14ac:dyDescent="0.15">
      <c r="A15" s="15" t="s">
        <v>116</v>
      </c>
      <c r="B15" s="18">
        <v>45663</v>
      </c>
      <c r="C15" s="15" t="s">
        <v>14</v>
      </c>
      <c r="D15" s="15" t="s">
        <v>15</v>
      </c>
      <c r="E15" s="4" t="s">
        <v>2</v>
      </c>
      <c r="F15" s="5" t="s">
        <v>4</v>
      </c>
      <c r="G15" s="6" t="s">
        <v>7</v>
      </c>
      <c r="H15" s="11">
        <v>26500</v>
      </c>
      <c r="I15" s="13"/>
    </row>
    <row r="16" spans="1:11" hidden="1" x14ac:dyDescent="0.15">
      <c r="A16" s="15" t="s">
        <v>117</v>
      </c>
      <c r="B16" s="18">
        <v>45663</v>
      </c>
      <c r="C16" s="4" t="s">
        <v>18</v>
      </c>
      <c r="D16" s="4" t="s">
        <v>19</v>
      </c>
      <c r="E16" s="4" t="s">
        <v>2</v>
      </c>
      <c r="F16" s="5" t="s">
        <v>4</v>
      </c>
      <c r="G16" s="6" t="s">
        <v>6</v>
      </c>
      <c r="H16" s="11">
        <v>5000</v>
      </c>
      <c r="I16" s="13"/>
    </row>
    <row r="17" spans="1:9" hidden="1" x14ac:dyDescent="0.15">
      <c r="A17" s="15" t="s">
        <v>118</v>
      </c>
      <c r="B17" s="18">
        <v>45663</v>
      </c>
      <c r="C17" s="4" t="s">
        <v>20</v>
      </c>
      <c r="D17" s="4" t="s">
        <v>21</v>
      </c>
      <c r="E17" s="4" t="s">
        <v>97</v>
      </c>
      <c r="F17" s="5" t="s">
        <v>4</v>
      </c>
      <c r="G17" s="6" t="s">
        <v>7</v>
      </c>
      <c r="H17" s="11">
        <v>8560</v>
      </c>
      <c r="I17" s="11"/>
    </row>
    <row r="18" spans="1:9" hidden="1" x14ac:dyDescent="0.15">
      <c r="A18" s="15" t="s">
        <v>119</v>
      </c>
      <c r="B18" s="18">
        <v>45664</v>
      </c>
      <c r="C18" s="15" t="s">
        <v>20</v>
      </c>
      <c r="D18" s="15" t="s">
        <v>21</v>
      </c>
      <c r="E18" s="15" t="s">
        <v>2</v>
      </c>
      <c r="F18" s="16" t="s">
        <v>4</v>
      </c>
      <c r="G18" s="17" t="s">
        <v>7</v>
      </c>
      <c r="H18" s="11">
        <v>5000</v>
      </c>
      <c r="I18" s="11"/>
    </row>
    <row r="19" spans="1:9" hidden="1" x14ac:dyDescent="0.15">
      <c r="A19" s="15" t="s">
        <v>121</v>
      </c>
      <c r="B19" s="18">
        <v>45665</v>
      </c>
      <c r="C19" s="1" t="s">
        <v>18</v>
      </c>
      <c r="D19" s="1" t="s">
        <v>19</v>
      </c>
      <c r="E19" s="1" t="s">
        <v>97</v>
      </c>
      <c r="F19" s="2" t="s">
        <v>4</v>
      </c>
      <c r="G19" s="3" t="s">
        <v>6</v>
      </c>
      <c r="H19" s="12">
        <v>3240</v>
      </c>
      <c r="I19" s="11"/>
    </row>
    <row r="20" spans="1:9" hidden="1" x14ac:dyDescent="0.15">
      <c r="A20" s="15" t="s">
        <v>122</v>
      </c>
      <c r="B20" s="18">
        <v>45666</v>
      </c>
      <c r="C20" s="1" t="s">
        <v>14</v>
      </c>
      <c r="D20" s="1" t="s">
        <v>15</v>
      </c>
      <c r="E20" s="1" t="s">
        <v>2</v>
      </c>
      <c r="F20" s="2" t="s">
        <v>4</v>
      </c>
      <c r="G20" s="3" t="s">
        <v>7</v>
      </c>
      <c r="H20" s="12">
        <v>7400</v>
      </c>
      <c r="I20" s="11"/>
    </row>
    <row r="21" spans="1:9" hidden="1" x14ac:dyDescent="0.15">
      <c r="A21" s="15" t="s">
        <v>123</v>
      </c>
      <c r="B21" s="18">
        <v>45666</v>
      </c>
      <c r="C21" s="1" t="s">
        <v>16</v>
      </c>
      <c r="D21" s="1" t="s">
        <v>17</v>
      </c>
      <c r="E21" s="1" t="s">
        <v>2</v>
      </c>
      <c r="F21" s="2" t="s">
        <v>4</v>
      </c>
      <c r="G21" s="3" t="s">
        <v>7</v>
      </c>
      <c r="H21" s="12">
        <v>22000</v>
      </c>
      <c r="I21" s="11"/>
    </row>
    <row r="22" spans="1:9" hidden="1" x14ac:dyDescent="0.15">
      <c r="A22" s="15" t="s">
        <v>167</v>
      </c>
      <c r="B22" s="19">
        <v>45940</v>
      </c>
      <c r="C22" s="15" t="s">
        <v>14</v>
      </c>
      <c r="D22" s="15" t="s">
        <v>15</v>
      </c>
      <c r="E22" s="15" t="s">
        <v>97</v>
      </c>
      <c r="F22" s="16" t="s">
        <v>4</v>
      </c>
      <c r="G22" s="17" t="s">
        <v>7</v>
      </c>
      <c r="H22" s="21">
        <v>6000</v>
      </c>
      <c r="I22" s="11"/>
    </row>
    <row r="23" spans="1:9" hidden="1" x14ac:dyDescent="0.15">
      <c r="A23" s="15" t="s">
        <v>126</v>
      </c>
      <c r="B23" s="18">
        <v>45668</v>
      </c>
      <c r="C23" s="1" t="s">
        <v>14</v>
      </c>
      <c r="D23" s="1" t="s">
        <v>15</v>
      </c>
      <c r="E23" s="1" t="s">
        <v>3</v>
      </c>
      <c r="F23" s="2" t="s">
        <v>4</v>
      </c>
      <c r="G23" s="3" t="s">
        <v>7</v>
      </c>
      <c r="H23" s="12">
        <v>7500</v>
      </c>
      <c r="I23" s="11"/>
    </row>
    <row r="24" spans="1:9" hidden="1" x14ac:dyDescent="0.15">
      <c r="A24" s="15" t="s">
        <v>129</v>
      </c>
      <c r="B24" s="18">
        <v>45669</v>
      </c>
      <c r="C24" s="15" t="s">
        <v>14</v>
      </c>
      <c r="D24" s="15" t="s">
        <v>15</v>
      </c>
      <c r="E24" s="15" t="s">
        <v>97</v>
      </c>
      <c r="F24" s="16" t="s">
        <v>4</v>
      </c>
      <c r="G24" s="17" t="s">
        <v>6</v>
      </c>
      <c r="H24" s="12">
        <v>6700</v>
      </c>
      <c r="I24" s="13"/>
    </row>
    <row r="25" spans="1:9" hidden="1" x14ac:dyDescent="0.15">
      <c r="A25" s="15" t="s">
        <v>130</v>
      </c>
      <c r="B25" s="18">
        <v>45670</v>
      </c>
      <c r="C25" s="1" t="s">
        <v>16</v>
      </c>
      <c r="D25" s="1" t="s">
        <v>17</v>
      </c>
      <c r="E25" s="1" t="s">
        <v>3</v>
      </c>
      <c r="F25" s="2" t="s">
        <v>4</v>
      </c>
      <c r="G25" s="3" t="s">
        <v>7</v>
      </c>
      <c r="H25" s="12">
        <v>6540</v>
      </c>
      <c r="I25" s="21"/>
    </row>
    <row r="26" spans="1:9" hidden="1" x14ac:dyDescent="0.15">
      <c r="A26" s="15" t="s">
        <v>134</v>
      </c>
      <c r="B26" s="18">
        <v>45674</v>
      </c>
      <c r="C26" s="15" t="s">
        <v>20</v>
      </c>
      <c r="D26" s="15" t="s">
        <v>21</v>
      </c>
      <c r="E26" s="15" t="s">
        <v>2</v>
      </c>
      <c r="F26" s="16" t="s">
        <v>4</v>
      </c>
      <c r="G26" s="17" t="s">
        <v>6</v>
      </c>
      <c r="H26" s="12">
        <v>12000</v>
      </c>
      <c r="I26" s="13"/>
    </row>
    <row r="27" spans="1:9" hidden="1" x14ac:dyDescent="0.15">
      <c r="A27" s="15" t="s">
        <v>135</v>
      </c>
      <c r="B27" s="18">
        <v>45675</v>
      </c>
      <c r="C27" s="15" t="s">
        <v>14</v>
      </c>
      <c r="D27" s="15" t="s">
        <v>15</v>
      </c>
      <c r="E27" s="1" t="s">
        <v>2</v>
      </c>
      <c r="F27" s="2" t="s">
        <v>4</v>
      </c>
      <c r="G27" s="3" t="s">
        <v>6</v>
      </c>
      <c r="H27" s="12">
        <v>3200</v>
      </c>
      <c r="I27" s="13"/>
    </row>
    <row r="28" spans="1:9" hidden="1" x14ac:dyDescent="0.15">
      <c r="A28" s="15" t="s">
        <v>136</v>
      </c>
      <c r="B28" s="18">
        <v>45675</v>
      </c>
      <c r="C28" s="15" t="s">
        <v>20</v>
      </c>
      <c r="D28" s="15" t="s">
        <v>21</v>
      </c>
      <c r="E28" s="15" t="s">
        <v>3</v>
      </c>
      <c r="F28" s="16" t="s">
        <v>4</v>
      </c>
      <c r="G28" s="17" t="s">
        <v>6</v>
      </c>
      <c r="H28" s="12">
        <v>12350</v>
      </c>
      <c r="I28" s="13"/>
    </row>
    <row r="29" spans="1:9" hidden="1" x14ac:dyDescent="0.15">
      <c r="A29" s="15" t="s">
        <v>140</v>
      </c>
      <c r="B29" s="18">
        <v>45677</v>
      </c>
      <c r="C29" s="15" t="s">
        <v>18</v>
      </c>
      <c r="D29" s="15" t="s">
        <v>19</v>
      </c>
      <c r="E29" s="15" t="s">
        <v>97</v>
      </c>
      <c r="F29" s="16" t="s">
        <v>4</v>
      </c>
      <c r="G29" s="17" t="s">
        <v>7</v>
      </c>
      <c r="H29" s="12">
        <v>7500</v>
      </c>
      <c r="I29" s="13"/>
    </row>
    <row r="30" spans="1:9" hidden="1" x14ac:dyDescent="0.15">
      <c r="A30" s="15" t="s">
        <v>141</v>
      </c>
      <c r="B30" s="18">
        <v>45678</v>
      </c>
      <c r="C30" s="1" t="s">
        <v>16</v>
      </c>
      <c r="D30" s="1" t="s">
        <v>17</v>
      </c>
      <c r="E30" s="1" t="s">
        <v>3</v>
      </c>
      <c r="F30" s="2" t="s">
        <v>4</v>
      </c>
      <c r="G30" s="3" t="s">
        <v>6</v>
      </c>
      <c r="H30" s="12">
        <v>3450</v>
      </c>
      <c r="I30" s="11"/>
    </row>
    <row r="31" spans="1:9" hidden="1" x14ac:dyDescent="0.15">
      <c r="A31" s="15" t="s">
        <v>142</v>
      </c>
      <c r="B31" s="18">
        <v>45678</v>
      </c>
      <c r="C31" s="1" t="s">
        <v>18</v>
      </c>
      <c r="D31" s="1" t="s">
        <v>19</v>
      </c>
      <c r="E31" s="1" t="s">
        <v>2</v>
      </c>
      <c r="F31" s="2" t="s">
        <v>4</v>
      </c>
      <c r="G31" s="3" t="s">
        <v>7</v>
      </c>
      <c r="H31" s="12">
        <v>8000</v>
      </c>
      <c r="I31" s="13"/>
    </row>
    <row r="32" spans="1:9" hidden="1" x14ac:dyDescent="0.15">
      <c r="A32" s="15" t="s">
        <v>143</v>
      </c>
      <c r="B32" s="18">
        <v>45678</v>
      </c>
      <c r="C32" s="1" t="s">
        <v>18</v>
      </c>
      <c r="D32" s="1" t="s">
        <v>19</v>
      </c>
      <c r="E32" s="1" t="s">
        <v>3</v>
      </c>
      <c r="F32" s="2" t="s">
        <v>4</v>
      </c>
      <c r="G32" s="3" t="s">
        <v>6</v>
      </c>
      <c r="H32" s="12">
        <v>17500</v>
      </c>
      <c r="I32" s="13"/>
    </row>
    <row r="33" spans="1:9" hidden="1" x14ac:dyDescent="0.15">
      <c r="A33" s="15" t="s">
        <v>144</v>
      </c>
      <c r="B33" s="18">
        <v>45678</v>
      </c>
      <c r="C33" s="1" t="s">
        <v>20</v>
      </c>
      <c r="D33" s="1" t="s">
        <v>21</v>
      </c>
      <c r="E33" s="1" t="s">
        <v>97</v>
      </c>
      <c r="F33" s="2" t="s">
        <v>4</v>
      </c>
      <c r="G33" s="3" t="s">
        <v>6</v>
      </c>
      <c r="H33" s="12">
        <v>5600</v>
      </c>
      <c r="I33" s="13"/>
    </row>
    <row r="34" spans="1:9" hidden="1" x14ac:dyDescent="0.15">
      <c r="A34" s="15" t="s">
        <v>148</v>
      </c>
      <c r="B34" s="18">
        <v>45680</v>
      </c>
      <c r="C34" s="15" t="s">
        <v>20</v>
      </c>
      <c r="D34" s="15" t="s">
        <v>21</v>
      </c>
      <c r="E34" s="15" t="s">
        <v>97</v>
      </c>
      <c r="F34" s="16" t="s">
        <v>4</v>
      </c>
      <c r="G34" s="17" t="s">
        <v>6</v>
      </c>
      <c r="H34" s="12">
        <v>5600</v>
      </c>
      <c r="I34" s="12"/>
    </row>
    <row r="35" spans="1:9" hidden="1" x14ac:dyDescent="0.15">
      <c r="A35" s="15" t="s">
        <v>149</v>
      </c>
      <c r="B35" s="18">
        <v>45681</v>
      </c>
      <c r="C35" s="15" t="s">
        <v>14</v>
      </c>
      <c r="D35" s="15" t="s">
        <v>15</v>
      </c>
      <c r="E35" s="15" t="s">
        <v>2</v>
      </c>
      <c r="F35" s="16" t="s">
        <v>4</v>
      </c>
      <c r="G35" s="17" t="s">
        <v>7</v>
      </c>
      <c r="H35" s="12">
        <v>6000</v>
      </c>
      <c r="I35" s="12"/>
    </row>
    <row r="36" spans="1:9" x14ac:dyDescent="0.15">
      <c r="A36" s="15" t="s">
        <v>150</v>
      </c>
      <c r="B36" s="18">
        <v>45682</v>
      </c>
      <c r="C36" s="15" t="s">
        <v>14</v>
      </c>
      <c r="D36" s="15" t="s">
        <v>15</v>
      </c>
      <c r="E36" s="1" t="s">
        <v>3</v>
      </c>
      <c r="F36" s="2" t="s">
        <v>4</v>
      </c>
      <c r="G36" s="3" t="s">
        <v>7</v>
      </c>
      <c r="H36" s="12">
        <v>12500</v>
      </c>
      <c r="I36" s="13"/>
    </row>
    <row r="37" spans="1:9" hidden="1" x14ac:dyDescent="0.15">
      <c r="A37" s="15" t="s">
        <v>153</v>
      </c>
      <c r="B37" s="18">
        <v>45684</v>
      </c>
      <c r="C37" s="15" t="s">
        <v>14</v>
      </c>
      <c r="D37" s="15" t="s">
        <v>15</v>
      </c>
      <c r="E37" s="15" t="s">
        <v>2</v>
      </c>
      <c r="F37" s="16" t="s">
        <v>4</v>
      </c>
      <c r="G37" s="17" t="s">
        <v>7</v>
      </c>
      <c r="H37" s="12">
        <v>7540</v>
      </c>
      <c r="I37" s="12"/>
    </row>
    <row r="38" spans="1:9" hidden="1" x14ac:dyDescent="0.15">
      <c r="A38" s="15" t="s">
        <v>154</v>
      </c>
      <c r="B38" s="18">
        <v>45684</v>
      </c>
      <c r="C38" s="15" t="s">
        <v>18</v>
      </c>
      <c r="D38" s="15" t="s">
        <v>19</v>
      </c>
      <c r="E38" s="15" t="s">
        <v>2</v>
      </c>
      <c r="F38" s="16" t="s">
        <v>4</v>
      </c>
      <c r="G38" s="17" t="s">
        <v>7</v>
      </c>
      <c r="H38" s="12">
        <v>7540</v>
      </c>
      <c r="I38" s="12"/>
    </row>
    <row r="39" spans="1:9" hidden="1" x14ac:dyDescent="0.15">
      <c r="A39" s="15" t="s">
        <v>156</v>
      </c>
      <c r="B39" s="18">
        <v>45685</v>
      </c>
      <c r="C39" s="15" t="s">
        <v>20</v>
      </c>
      <c r="D39" s="15" t="s">
        <v>21</v>
      </c>
      <c r="E39" s="15" t="s">
        <v>2</v>
      </c>
      <c r="F39" s="16" t="s">
        <v>4</v>
      </c>
      <c r="G39" s="17" t="s">
        <v>6</v>
      </c>
      <c r="H39" s="12">
        <v>9430</v>
      </c>
      <c r="I39" s="13"/>
    </row>
    <row r="40" spans="1:9" hidden="1" x14ac:dyDescent="0.15">
      <c r="A40" s="15" t="s">
        <v>157</v>
      </c>
      <c r="B40" s="18">
        <v>45685</v>
      </c>
      <c r="C40" s="15" t="s">
        <v>20</v>
      </c>
      <c r="D40" s="15" t="s">
        <v>21</v>
      </c>
      <c r="E40" s="15" t="s">
        <v>97</v>
      </c>
      <c r="F40" s="16" t="s">
        <v>4</v>
      </c>
      <c r="G40" s="17" t="s">
        <v>7</v>
      </c>
      <c r="H40" s="12">
        <v>10000</v>
      </c>
      <c r="I40" s="13"/>
    </row>
    <row r="41" spans="1:9" hidden="1" x14ac:dyDescent="0.15">
      <c r="A41" s="15" t="s">
        <v>159</v>
      </c>
      <c r="B41" s="19">
        <v>45686</v>
      </c>
      <c r="C41" s="15" t="s">
        <v>16</v>
      </c>
      <c r="D41" s="15" t="s">
        <v>17</v>
      </c>
      <c r="E41" s="15" t="s">
        <v>97</v>
      </c>
      <c r="F41" s="16" t="s">
        <v>4</v>
      </c>
      <c r="G41" s="17" t="s">
        <v>6</v>
      </c>
      <c r="H41" s="12">
        <v>7730</v>
      </c>
      <c r="I41" s="12"/>
    </row>
    <row r="42" spans="1:9" hidden="1" x14ac:dyDescent="0.15">
      <c r="A42" s="15" t="s">
        <v>160</v>
      </c>
      <c r="B42" s="19">
        <v>45686</v>
      </c>
      <c r="C42" s="15" t="s">
        <v>16</v>
      </c>
      <c r="D42" s="15" t="s">
        <v>17</v>
      </c>
      <c r="E42" s="15" t="s">
        <v>3</v>
      </c>
      <c r="F42" s="16" t="s">
        <v>4</v>
      </c>
      <c r="G42" s="17" t="s">
        <v>6</v>
      </c>
      <c r="H42" s="12">
        <v>8400</v>
      </c>
      <c r="I42" s="12"/>
    </row>
    <row r="43" spans="1:9" hidden="1" x14ac:dyDescent="0.15">
      <c r="A43" s="15" t="s">
        <v>161</v>
      </c>
      <c r="B43" s="18">
        <v>45687</v>
      </c>
      <c r="C43" s="1" t="s">
        <v>18</v>
      </c>
      <c r="D43" s="1" t="s">
        <v>19</v>
      </c>
      <c r="E43" s="1" t="s">
        <v>3</v>
      </c>
      <c r="F43" s="2" t="s">
        <v>4</v>
      </c>
      <c r="G43" s="3" t="s">
        <v>6</v>
      </c>
      <c r="H43" s="12">
        <v>4080</v>
      </c>
      <c r="I43" s="12"/>
    </row>
    <row r="44" spans="1:9" hidden="1" x14ac:dyDescent="0.15">
      <c r="A44" s="15" t="s">
        <v>163</v>
      </c>
      <c r="B44" s="18">
        <v>45688</v>
      </c>
      <c r="C44" s="1" t="s">
        <v>14</v>
      </c>
      <c r="D44" s="1" t="s">
        <v>15</v>
      </c>
      <c r="E44" s="1" t="s">
        <v>2</v>
      </c>
      <c r="F44" s="2" t="s">
        <v>4</v>
      </c>
      <c r="G44" s="3" t="s">
        <v>6</v>
      </c>
      <c r="H44" s="12">
        <v>3000</v>
      </c>
      <c r="I44" s="13"/>
    </row>
    <row r="45" spans="1:9" hidden="1" x14ac:dyDescent="0.15">
      <c r="A45" s="15" t="s">
        <v>165</v>
      </c>
      <c r="B45" s="18">
        <v>45688</v>
      </c>
      <c r="C45" s="20" t="s">
        <v>14</v>
      </c>
      <c r="D45" s="20" t="s">
        <v>15</v>
      </c>
      <c r="E45" s="20" t="s">
        <v>2</v>
      </c>
      <c r="F45" s="16" t="s">
        <v>4</v>
      </c>
      <c r="G45" s="17" t="s">
        <v>7</v>
      </c>
      <c r="H45" s="21">
        <v>11250</v>
      </c>
      <c r="I45" s="13"/>
    </row>
    <row r="46" spans="1:9" hidden="1" x14ac:dyDescent="0.15">
      <c r="A46" s="15" t="s">
        <v>104</v>
      </c>
      <c r="B46" s="18">
        <v>45660</v>
      </c>
      <c r="C46" s="15" t="s">
        <v>14</v>
      </c>
      <c r="D46" s="15" t="s">
        <v>15</v>
      </c>
      <c r="E46" s="15" t="s">
        <v>97</v>
      </c>
      <c r="F46" s="16" t="s">
        <v>10</v>
      </c>
      <c r="G46" s="17" t="s">
        <v>6</v>
      </c>
      <c r="H46" s="11">
        <v>6780</v>
      </c>
      <c r="I46" s="13"/>
    </row>
    <row r="47" spans="1:9" hidden="1" x14ac:dyDescent="0.15">
      <c r="A47" s="15" t="s">
        <v>105</v>
      </c>
      <c r="B47" s="18">
        <v>45660</v>
      </c>
      <c r="C47" s="4" t="s">
        <v>14</v>
      </c>
      <c r="D47" s="4" t="s">
        <v>15</v>
      </c>
      <c r="E47" s="4" t="s">
        <v>3</v>
      </c>
      <c r="F47" s="5" t="s">
        <v>10</v>
      </c>
      <c r="G47" s="6" t="s">
        <v>6</v>
      </c>
      <c r="H47" s="11">
        <v>27000</v>
      </c>
      <c r="I47" s="12"/>
    </row>
    <row r="48" spans="1:9" hidden="1" x14ac:dyDescent="0.15">
      <c r="A48" s="15" t="s">
        <v>108</v>
      </c>
      <c r="B48" s="18">
        <v>45661</v>
      </c>
      <c r="C48" s="15" t="s">
        <v>14</v>
      </c>
      <c r="D48" s="15" t="s">
        <v>15</v>
      </c>
      <c r="E48" s="15" t="s">
        <v>2</v>
      </c>
      <c r="F48" s="16" t="s">
        <v>10</v>
      </c>
      <c r="G48" s="17" t="s">
        <v>6</v>
      </c>
      <c r="H48" s="11">
        <v>4550</v>
      </c>
      <c r="I48" s="12"/>
    </row>
    <row r="49" spans="1:9" hidden="1" x14ac:dyDescent="0.15">
      <c r="A49" s="15" t="s">
        <v>109</v>
      </c>
      <c r="B49" s="18">
        <v>45661</v>
      </c>
      <c r="C49" s="15" t="s">
        <v>14</v>
      </c>
      <c r="D49" s="15" t="s">
        <v>15</v>
      </c>
      <c r="E49" s="15" t="s">
        <v>97</v>
      </c>
      <c r="F49" s="16" t="s">
        <v>10</v>
      </c>
      <c r="G49" s="17" t="s">
        <v>7</v>
      </c>
      <c r="H49" s="11">
        <v>8490</v>
      </c>
      <c r="I49" s="12"/>
    </row>
    <row r="50" spans="1:9" hidden="1" x14ac:dyDescent="0.15">
      <c r="A50" s="15" t="s">
        <v>110</v>
      </c>
      <c r="B50" s="18">
        <v>45661</v>
      </c>
      <c r="C50" s="15" t="s">
        <v>14</v>
      </c>
      <c r="D50" s="15" t="s">
        <v>15</v>
      </c>
      <c r="E50" s="15" t="s">
        <v>3</v>
      </c>
      <c r="F50" s="5" t="s">
        <v>10</v>
      </c>
      <c r="G50" s="17" t="s">
        <v>6</v>
      </c>
      <c r="H50" s="11">
        <v>5432</v>
      </c>
      <c r="I50" s="13"/>
    </row>
    <row r="51" spans="1:9" hidden="1" x14ac:dyDescent="0.15">
      <c r="A51" s="15" t="s">
        <v>111</v>
      </c>
      <c r="B51" s="18">
        <v>45661</v>
      </c>
      <c r="C51" s="15" t="s">
        <v>16</v>
      </c>
      <c r="D51" s="15" t="s">
        <v>17</v>
      </c>
      <c r="E51" s="15" t="s">
        <v>97</v>
      </c>
      <c r="F51" s="16" t="s">
        <v>10</v>
      </c>
      <c r="G51" s="17" t="s">
        <v>7</v>
      </c>
      <c r="H51" s="11">
        <v>7450</v>
      </c>
      <c r="I51" s="13"/>
    </row>
    <row r="52" spans="1:9" hidden="1" x14ac:dyDescent="0.15">
      <c r="A52" s="15" t="s">
        <v>112</v>
      </c>
      <c r="B52" s="18">
        <v>45661</v>
      </c>
      <c r="C52" s="15" t="s">
        <v>18</v>
      </c>
      <c r="D52" s="15" t="s">
        <v>19</v>
      </c>
      <c r="E52" s="15" t="s">
        <v>3</v>
      </c>
      <c r="F52" s="5" t="s">
        <v>10</v>
      </c>
      <c r="G52" s="17" t="s">
        <v>6</v>
      </c>
      <c r="H52" s="11">
        <v>5432</v>
      </c>
      <c r="I52" s="13"/>
    </row>
    <row r="53" spans="1:9" hidden="1" x14ac:dyDescent="0.15">
      <c r="A53" s="15" t="s">
        <v>113</v>
      </c>
      <c r="B53" s="18">
        <v>45661</v>
      </c>
      <c r="C53" s="15" t="s">
        <v>20</v>
      </c>
      <c r="D53" s="15" t="s">
        <v>21</v>
      </c>
      <c r="E53" s="4" t="s">
        <v>97</v>
      </c>
      <c r="F53" s="5" t="s">
        <v>10</v>
      </c>
      <c r="G53" s="6" t="s">
        <v>7</v>
      </c>
      <c r="H53" s="11">
        <v>6780</v>
      </c>
      <c r="I53" s="13"/>
    </row>
    <row r="54" spans="1:9" hidden="1" x14ac:dyDescent="0.15">
      <c r="A54" s="15" t="s">
        <v>115</v>
      </c>
      <c r="B54" s="18">
        <v>45662</v>
      </c>
      <c r="C54" s="15" t="s">
        <v>14</v>
      </c>
      <c r="D54" s="15" t="s">
        <v>15</v>
      </c>
      <c r="E54" s="15" t="s">
        <v>2</v>
      </c>
      <c r="F54" s="16" t="s">
        <v>10</v>
      </c>
      <c r="G54" s="17" t="s">
        <v>6</v>
      </c>
      <c r="H54" s="21">
        <v>8560</v>
      </c>
      <c r="I54" s="13"/>
    </row>
    <row r="55" spans="1:9" hidden="1" x14ac:dyDescent="0.15">
      <c r="A55" s="15" t="s">
        <v>120</v>
      </c>
      <c r="B55" s="18">
        <v>45664</v>
      </c>
      <c r="C55" s="15" t="s">
        <v>16</v>
      </c>
      <c r="D55" s="15" t="s">
        <v>17</v>
      </c>
      <c r="E55" s="15" t="s">
        <v>97</v>
      </c>
      <c r="F55" s="16" t="s">
        <v>10</v>
      </c>
      <c r="G55" s="17" t="s">
        <v>6</v>
      </c>
      <c r="H55" s="11">
        <v>5400</v>
      </c>
      <c r="I55" s="12"/>
    </row>
    <row r="56" spans="1:9" hidden="1" x14ac:dyDescent="0.15">
      <c r="A56" s="15" t="s">
        <v>124</v>
      </c>
      <c r="B56" s="18">
        <v>45666</v>
      </c>
      <c r="C56" s="1" t="s">
        <v>16</v>
      </c>
      <c r="D56" s="1" t="s">
        <v>17</v>
      </c>
      <c r="E56" s="1" t="s">
        <v>3</v>
      </c>
      <c r="F56" s="2" t="s">
        <v>10</v>
      </c>
      <c r="G56" s="3" t="s">
        <v>7</v>
      </c>
      <c r="H56" s="12">
        <v>3240</v>
      </c>
      <c r="I56" s="12"/>
    </row>
    <row r="57" spans="1:9" hidden="1" x14ac:dyDescent="0.15">
      <c r="A57" s="15" t="s">
        <v>125</v>
      </c>
      <c r="B57" s="18">
        <v>45667</v>
      </c>
      <c r="C57" s="15" t="s">
        <v>20</v>
      </c>
      <c r="D57" s="15" t="s">
        <v>21</v>
      </c>
      <c r="E57" s="15" t="s">
        <v>3</v>
      </c>
      <c r="F57" s="16" t="s">
        <v>10</v>
      </c>
      <c r="G57" s="17" t="s">
        <v>6</v>
      </c>
      <c r="H57" s="12">
        <v>7690</v>
      </c>
      <c r="I57" s="12"/>
    </row>
    <row r="58" spans="1:9" hidden="1" x14ac:dyDescent="0.15">
      <c r="A58" s="15" t="s">
        <v>127</v>
      </c>
      <c r="B58" s="18">
        <v>45668</v>
      </c>
      <c r="C58" s="1" t="s">
        <v>18</v>
      </c>
      <c r="D58" s="1" t="s">
        <v>19</v>
      </c>
      <c r="E58" s="1" t="s">
        <v>2</v>
      </c>
      <c r="F58" s="2" t="s">
        <v>10</v>
      </c>
      <c r="G58" s="3" t="s">
        <v>7</v>
      </c>
      <c r="H58" s="12">
        <v>7500</v>
      </c>
      <c r="I58" s="13"/>
    </row>
    <row r="59" spans="1:9" hidden="1" x14ac:dyDescent="0.15">
      <c r="A59" s="15" t="s">
        <v>128</v>
      </c>
      <c r="B59" s="18">
        <v>45668</v>
      </c>
      <c r="C59" s="1" t="s">
        <v>20</v>
      </c>
      <c r="D59" s="1" t="s">
        <v>21</v>
      </c>
      <c r="E59" s="1" t="s">
        <v>97</v>
      </c>
      <c r="F59" s="2" t="s">
        <v>10</v>
      </c>
      <c r="G59" s="3" t="s">
        <v>7</v>
      </c>
      <c r="H59" s="12">
        <v>4650</v>
      </c>
      <c r="I59" s="13"/>
    </row>
    <row r="60" spans="1:9" hidden="1" x14ac:dyDescent="0.15">
      <c r="A60" s="15" t="s">
        <v>131</v>
      </c>
      <c r="B60" s="18">
        <v>45671</v>
      </c>
      <c r="C60" s="1" t="s">
        <v>16</v>
      </c>
      <c r="D60" s="1" t="s">
        <v>17</v>
      </c>
      <c r="E60" s="1" t="s">
        <v>97</v>
      </c>
      <c r="F60" s="2" t="s">
        <v>10</v>
      </c>
      <c r="G60" s="3" t="s">
        <v>7</v>
      </c>
      <c r="H60" s="12">
        <v>4800</v>
      </c>
      <c r="I60" s="13"/>
    </row>
    <row r="61" spans="1:9" hidden="1" x14ac:dyDescent="0.15">
      <c r="A61" s="15" t="s">
        <v>132</v>
      </c>
      <c r="B61" s="18">
        <v>45672</v>
      </c>
      <c r="C61" s="15" t="s">
        <v>14</v>
      </c>
      <c r="D61" s="15" t="s">
        <v>15</v>
      </c>
      <c r="E61" s="15" t="s">
        <v>2</v>
      </c>
      <c r="F61" s="16" t="s">
        <v>10</v>
      </c>
      <c r="G61" s="17" t="s">
        <v>6</v>
      </c>
      <c r="H61" s="12">
        <v>7200</v>
      </c>
      <c r="I61" s="12"/>
    </row>
    <row r="62" spans="1:9" hidden="1" x14ac:dyDescent="0.15">
      <c r="A62" s="15" t="s">
        <v>133</v>
      </c>
      <c r="B62" s="18">
        <v>45673</v>
      </c>
      <c r="C62" s="1" t="s">
        <v>18</v>
      </c>
      <c r="D62" s="1" t="s">
        <v>19</v>
      </c>
      <c r="E62" s="1" t="s">
        <v>97</v>
      </c>
      <c r="F62" s="2" t="s">
        <v>10</v>
      </c>
      <c r="G62" s="3" t="s">
        <v>6</v>
      </c>
      <c r="H62" s="12">
        <v>32000</v>
      </c>
      <c r="I62" s="12"/>
    </row>
    <row r="63" spans="1:9" hidden="1" x14ac:dyDescent="0.15">
      <c r="A63" s="15" t="s">
        <v>137</v>
      </c>
      <c r="B63" s="18">
        <v>45675</v>
      </c>
      <c r="C63" s="1" t="s">
        <v>14</v>
      </c>
      <c r="D63" s="1" t="s">
        <v>15</v>
      </c>
      <c r="E63" s="1" t="s">
        <v>2</v>
      </c>
      <c r="F63" s="2" t="s">
        <v>10</v>
      </c>
      <c r="G63" s="3" t="s">
        <v>7</v>
      </c>
      <c r="H63" s="12">
        <v>18000</v>
      </c>
      <c r="I63" s="13"/>
    </row>
    <row r="64" spans="1:9" hidden="1" x14ac:dyDescent="0.15">
      <c r="A64" s="15" t="s">
        <v>138</v>
      </c>
      <c r="B64" s="18">
        <v>45676</v>
      </c>
      <c r="C64" s="1" t="s">
        <v>14</v>
      </c>
      <c r="D64" s="1" t="s">
        <v>15</v>
      </c>
      <c r="E64" s="1" t="s">
        <v>2</v>
      </c>
      <c r="F64" s="2" t="s">
        <v>10</v>
      </c>
      <c r="G64" s="3" t="s">
        <v>6</v>
      </c>
      <c r="H64" s="12">
        <v>4500</v>
      </c>
      <c r="I64" s="13"/>
    </row>
    <row r="65" spans="1:10" hidden="1" x14ac:dyDescent="0.15">
      <c r="A65" s="15" t="s">
        <v>139</v>
      </c>
      <c r="B65" s="18">
        <v>45676</v>
      </c>
      <c r="C65" s="1" t="s">
        <v>16</v>
      </c>
      <c r="D65" s="1" t="s">
        <v>17</v>
      </c>
      <c r="E65" s="1" t="s">
        <v>2</v>
      </c>
      <c r="F65" s="2" t="s">
        <v>10</v>
      </c>
      <c r="G65" s="3" t="s">
        <v>6</v>
      </c>
      <c r="H65" s="12">
        <v>12500</v>
      </c>
      <c r="I65" s="12"/>
    </row>
    <row r="66" spans="1:10" hidden="1" x14ac:dyDescent="0.15">
      <c r="A66" s="15" t="s">
        <v>145</v>
      </c>
      <c r="B66" s="18">
        <v>45678</v>
      </c>
      <c r="C66" s="1" t="s">
        <v>20</v>
      </c>
      <c r="D66" s="1" t="s">
        <v>21</v>
      </c>
      <c r="E66" s="1" t="s">
        <v>2</v>
      </c>
      <c r="F66" s="2" t="s">
        <v>10</v>
      </c>
      <c r="G66" s="3" t="s">
        <v>6</v>
      </c>
      <c r="H66" s="12">
        <v>18500</v>
      </c>
      <c r="I66" s="13"/>
    </row>
    <row r="67" spans="1:10" hidden="1" x14ac:dyDescent="0.15">
      <c r="A67" s="15" t="s">
        <v>146</v>
      </c>
      <c r="B67" s="18">
        <v>45678</v>
      </c>
      <c r="C67" s="1" t="s">
        <v>20</v>
      </c>
      <c r="D67" s="1" t="s">
        <v>21</v>
      </c>
      <c r="E67" s="1" t="s">
        <v>3</v>
      </c>
      <c r="F67" s="2" t="s">
        <v>10</v>
      </c>
      <c r="G67" s="3" t="s">
        <v>6</v>
      </c>
      <c r="H67" s="12">
        <v>5400</v>
      </c>
      <c r="I67" s="13"/>
    </row>
    <row r="68" spans="1:10" hidden="1" x14ac:dyDescent="0.15">
      <c r="A68" s="15" t="s">
        <v>147</v>
      </c>
      <c r="B68" s="18">
        <v>45679</v>
      </c>
      <c r="C68" s="1" t="s">
        <v>14</v>
      </c>
      <c r="D68" s="1" t="s">
        <v>15</v>
      </c>
      <c r="E68" s="1" t="s">
        <v>97</v>
      </c>
      <c r="F68" s="2" t="s">
        <v>10</v>
      </c>
      <c r="G68" s="3" t="s">
        <v>6</v>
      </c>
      <c r="H68" s="12">
        <v>6540</v>
      </c>
      <c r="I68" s="12"/>
    </row>
    <row r="69" spans="1:10" x14ac:dyDescent="0.15">
      <c r="A69" s="15" t="s">
        <v>151</v>
      </c>
      <c r="B69" s="18">
        <v>45683</v>
      </c>
      <c r="C69" s="15" t="s">
        <v>14</v>
      </c>
      <c r="D69" s="15" t="s">
        <v>15</v>
      </c>
      <c r="E69" s="1" t="s">
        <v>3</v>
      </c>
      <c r="F69" s="2" t="s">
        <v>10</v>
      </c>
      <c r="G69" s="3" t="s">
        <v>7</v>
      </c>
      <c r="H69" s="12">
        <v>22500</v>
      </c>
      <c r="I69" s="13"/>
    </row>
    <row r="70" spans="1:10" hidden="1" x14ac:dyDescent="0.15">
      <c r="A70" s="15" t="s">
        <v>152</v>
      </c>
      <c r="B70" s="18">
        <v>45683</v>
      </c>
      <c r="C70" s="1" t="s">
        <v>18</v>
      </c>
      <c r="D70" s="1" t="s">
        <v>19</v>
      </c>
      <c r="E70" s="1" t="s">
        <v>2</v>
      </c>
      <c r="F70" s="2" t="s">
        <v>10</v>
      </c>
      <c r="G70" s="3" t="s">
        <v>7</v>
      </c>
      <c r="H70" s="12">
        <v>25000</v>
      </c>
      <c r="I70" s="13"/>
    </row>
    <row r="71" spans="1:10" hidden="1" x14ac:dyDescent="0.15">
      <c r="A71" s="15" t="s">
        <v>155</v>
      </c>
      <c r="B71" s="18">
        <v>45684</v>
      </c>
      <c r="C71" s="15" t="s">
        <v>18</v>
      </c>
      <c r="D71" s="15" t="s">
        <v>19</v>
      </c>
      <c r="E71" s="15" t="s">
        <v>3</v>
      </c>
      <c r="F71" s="16" t="s">
        <v>10</v>
      </c>
      <c r="G71" s="17" t="s">
        <v>6</v>
      </c>
      <c r="H71" s="12">
        <v>12500</v>
      </c>
      <c r="I71" s="13"/>
    </row>
    <row r="72" spans="1:10" hidden="1" x14ac:dyDescent="0.15">
      <c r="A72" s="15" t="s">
        <v>158</v>
      </c>
      <c r="B72" s="18">
        <v>45685</v>
      </c>
      <c r="C72" s="15" t="s">
        <v>14</v>
      </c>
      <c r="D72" s="15" t="s">
        <v>15</v>
      </c>
      <c r="E72" s="15" t="s">
        <v>3</v>
      </c>
      <c r="F72" s="16" t="s">
        <v>10</v>
      </c>
      <c r="G72" s="17" t="s">
        <v>6</v>
      </c>
      <c r="H72" s="12">
        <v>8400</v>
      </c>
      <c r="I72" s="12"/>
    </row>
    <row r="73" spans="1:10" hidden="1" x14ac:dyDescent="0.15">
      <c r="A73" s="15" t="s">
        <v>162</v>
      </c>
      <c r="B73" s="18">
        <v>45687</v>
      </c>
      <c r="C73" s="1" t="s">
        <v>20</v>
      </c>
      <c r="D73" s="1" t="s">
        <v>21</v>
      </c>
      <c r="E73" s="1" t="s">
        <v>2</v>
      </c>
      <c r="F73" s="2" t="s">
        <v>10</v>
      </c>
      <c r="G73" s="3" t="s">
        <v>6</v>
      </c>
      <c r="H73" s="12">
        <v>12000</v>
      </c>
      <c r="I73" s="13"/>
    </row>
    <row r="74" spans="1:10" hidden="1" x14ac:dyDescent="0.15">
      <c r="A74" s="15" t="s">
        <v>164</v>
      </c>
      <c r="B74" s="18">
        <v>45688</v>
      </c>
      <c r="C74" s="1" t="s">
        <v>20</v>
      </c>
      <c r="D74" s="1" t="s">
        <v>21</v>
      </c>
      <c r="E74" s="1" t="s">
        <v>3</v>
      </c>
      <c r="F74" s="2" t="s">
        <v>10</v>
      </c>
      <c r="G74" s="3" t="s">
        <v>6</v>
      </c>
      <c r="H74" s="12">
        <v>21500</v>
      </c>
      <c r="I74" s="12"/>
    </row>
    <row r="75" spans="1:10" x14ac:dyDescent="0.15">
      <c r="C75"/>
      <c r="J75" s="21"/>
    </row>
  </sheetData>
  <mergeCells count="2">
    <mergeCell ref="A2:H2"/>
    <mergeCell ref="A1:H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7"/>
  <sheetViews>
    <sheetView tabSelected="1" workbookViewId="0">
      <selection activeCell="I83" sqref="I83"/>
    </sheetView>
  </sheetViews>
  <sheetFormatPr baseColWidth="10" defaultColWidth="8.83203125" defaultRowHeight="13" x14ac:dyDescent="0.15"/>
  <cols>
    <col min="1" max="1" width="12.6640625" customWidth="1"/>
    <col min="2" max="2" width="15.6640625" customWidth="1"/>
    <col min="3" max="3" width="12.6640625" style="27" customWidth="1"/>
    <col min="4" max="4" width="12.6640625" customWidth="1"/>
    <col min="5" max="5" width="18.83203125" bestFit="1" customWidth="1"/>
    <col min="6" max="6" width="18.1640625" bestFit="1" customWidth="1"/>
    <col min="7" max="7" width="17.33203125" customWidth="1"/>
    <col min="8" max="8" width="14.83203125" customWidth="1"/>
    <col min="9" max="9" width="14.1640625" customWidth="1"/>
    <col min="10" max="10" width="12.6640625" customWidth="1"/>
    <col min="11" max="11" width="11.5" customWidth="1"/>
  </cols>
  <sheetData>
    <row r="1" spans="1:11" ht="33" x14ac:dyDescent="0.1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</row>
    <row r="2" spans="1:11" ht="17" x14ac:dyDescent="0.25">
      <c r="A2" s="44" t="s">
        <v>9</v>
      </c>
      <c r="B2" s="44"/>
      <c r="C2" s="44"/>
      <c r="D2" s="44"/>
      <c r="E2" s="44"/>
      <c r="F2" s="44"/>
      <c r="G2" s="44"/>
      <c r="H2" s="44"/>
      <c r="I2" s="44"/>
      <c r="J2" s="44"/>
      <c r="K2" s="33"/>
    </row>
    <row r="3" spans="1:11" ht="17" x14ac:dyDescent="0.25">
      <c r="A3" s="23" t="s">
        <v>22</v>
      </c>
      <c r="B3" s="25"/>
      <c r="C3" s="24">
        <v>0.25</v>
      </c>
      <c r="E3" s="25"/>
      <c r="F3" s="25"/>
      <c r="G3" s="25"/>
      <c r="H3" s="25"/>
      <c r="I3" s="25"/>
      <c r="J3" s="25"/>
      <c r="K3" s="25"/>
    </row>
    <row r="4" spans="1:11" ht="17" x14ac:dyDescent="0.25">
      <c r="B4" s="10"/>
      <c r="C4" s="26"/>
      <c r="D4" s="9"/>
      <c r="E4" s="9"/>
      <c r="F4" s="9"/>
      <c r="G4" s="9"/>
      <c r="H4" s="9"/>
      <c r="I4" s="9"/>
    </row>
    <row r="5" spans="1:11" ht="27.75" customHeight="1" x14ac:dyDescent="0.15">
      <c r="A5" s="22" t="s">
        <v>13</v>
      </c>
      <c r="B5" s="7" t="s">
        <v>8</v>
      </c>
      <c r="C5" s="14" t="s">
        <v>23</v>
      </c>
      <c r="D5" s="14" t="s">
        <v>24</v>
      </c>
      <c r="E5" s="7" t="s">
        <v>1</v>
      </c>
      <c r="F5" s="14" t="s">
        <v>12</v>
      </c>
      <c r="G5" s="7" t="s">
        <v>11</v>
      </c>
      <c r="H5" s="8" t="s">
        <v>5</v>
      </c>
      <c r="I5" s="14" t="s">
        <v>26</v>
      </c>
      <c r="J5" s="28" t="s">
        <v>25</v>
      </c>
    </row>
    <row r="6" spans="1:11" x14ac:dyDescent="0.15">
      <c r="A6" s="15" t="s">
        <v>27</v>
      </c>
      <c r="B6" s="18">
        <v>45658</v>
      </c>
      <c r="C6" s="4" t="s">
        <v>14</v>
      </c>
      <c r="D6" s="4" t="s">
        <v>15</v>
      </c>
      <c r="E6" s="4" t="s">
        <v>3</v>
      </c>
      <c r="F6" s="5" t="s">
        <v>4</v>
      </c>
      <c r="G6" s="6" t="s">
        <v>7</v>
      </c>
      <c r="H6" s="11">
        <v>15000</v>
      </c>
      <c r="I6" s="29">
        <f t="shared" ref="I6:I37" si="0">IF(F6="Paid in Full", H6, H6 * $C$3)</f>
        <v>3750</v>
      </c>
      <c r="J6" s="29">
        <f t="shared" ref="J6:J37" si="1">H6-I6</f>
        <v>11250</v>
      </c>
    </row>
    <row r="7" spans="1:11" hidden="1" x14ac:dyDescent="0.15">
      <c r="A7" s="15" t="s">
        <v>28</v>
      </c>
      <c r="B7" s="18">
        <v>45658</v>
      </c>
      <c r="C7" s="4" t="s">
        <v>16</v>
      </c>
      <c r="D7" s="4" t="s">
        <v>17</v>
      </c>
      <c r="E7" s="4" t="s">
        <v>3</v>
      </c>
      <c r="F7" s="5" t="s">
        <v>4</v>
      </c>
      <c r="G7" s="6" t="s">
        <v>7</v>
      </c>
      <c r="H7" s="11">
        <v>12000</v>
      </c>
      <c r="I7" s="29">
        <f t="shared" si="0"/>
        <v>3000</v>
      </c>
      <c r="J7" s="29">
        <f t="shared" si="1"/>
        <v>9000</v>
      </c>
    </row>
    <row r="8" spans="1:11" x14ac:dyDescent="0.15">
      <c r="A8" s="15" t="s">
        <v>29</v>
      </c>
      <c r="B8" s="18">
        <v>45659</v>
      </c>
      <c r="C8" s="15" t="s">
        <v>14</v>
      </c>
      <c r="D8" s="15" t="s">
        <v>15</v>
      </c>
      <c r="E8" s="15" t="s">
        <v>2</v>
      </c>
      <c r="F8" s="16" t="s">
        <v>4</v>
      </c>
      <c r="G8" s="17" t="s">
        <v>7</v>
      </c>
      <c r="H8" s="11">
        <v>3240</v>
      </c>
      <c r="I8" s="29">
        <f t="shared" si="0"/>
        <v>810</v>
      </c>
      <c r="J8" s="29">
        <f t="shared" si="1"/>
        <v>2430</v>
      </c>
    </row>
    <row r="9" spans="1:11" hidden="1" x14ac:dyDescent="0.15">
      <c r="A9" s="15" t="s">
        <v>30</v>
      </c>
      <c r="B9" s="18">
        <v>45659</v>
      </c>
      <c r="C9" s="15" t="s">
        <v>18</v>
      </c>
      <c r="D9" s="15" t="s">
        <v>19</v>
      </c>
      <c r="E9" s="15" t="s">
        <v>2</v>
      </c>
      <c r="F9" s="16" t="s">
        <v>4</v>
      </c>
      <c r="G9" s="17" t="s">
        <v>7</v>
      </c>
      <c r="H9" s="11">
        <v>4080</v>
      </c>
      <c r="I9" s="29">
        <f t="shared" si="0"/>
        <v>1020</v>
      </c>
      <c r="J9" s="29">
        <f t="shared" si="1"/>
        <v>3060</v>
      </c>
    </row>
    <row r="10" spans="1:11" hidden="1" x14ac:dyDescent="0.15">
      <c r="A10" s="15" t="s">
        <v>31</v>
      </c>
      <c r="B10" s="18">
        <v>45659</v>
      </c>
      <c r="C10" s="4" t="s">
        <v>20</v>
      </c>
      <c r="D10" s="4" t="s">
        <v>21</v>
      </c>
      <c r="E10" s="4" t="s">
        <v>97</v>
      </c>
      <c r="F10" s="5" t="s">
        <v>4</v>
      </c>
      <c r="G10" s="6" t="s">
        <v>7</v>
      </c>
      <c r="H10" s="11">
        <v>5432</v>
      </c>
      <c r="I10" s="29">
        <f t="shared" si="0"/>
        <v>1358</v>
      </c>
      <c r="J10" s="29">
        <f t="shared" si="1"/>
        <v>4074</v>
      </c>
    </row>
    <row r="11" spans="1:11" x14ac:dyDescent="0.15">
      <c r="A11" s="15" t="s">
        <v>32</v>
      </c>
      <c r="B11" s="18">
        <v>45660</v>
      </c>
      <c r="C11" s="15" t="s">
        <v>14</v>
      </c>
      <c r="D11" s="15" t="s">
        <v>15</v>
      </c>
      <c r="E11" s="15" t="s">
        <v>2</v>
      </c>
      <c r="F11" s="16" t="s">
        <v>4</v>
      </c>
      <c r="G11" s="17" t="s">
        <v>6</v>
      </c>
      <c r="H11" s="11">
        <v>6780</v>
      </c>
      <c r="I11" s="29">
        <f t="shared" si="0"/>
        <v>1695</v>
      </c>
      <c r="J11" s="29">
        <f t="shared" si="1"/>
        <v>5085</v>
      </c>
    </row>
    <row r="12" spans="1:11" hidden="1" x14ac:dyDescent="0.15">
      <c r="A12" s="15" t="s">
        <v>33</v>
      </c>
      <c r="B12" s="18">
        <v>45660</v>
      </c>
      <c r="C12" s="15" t="s">
        <v>18</v>
      </c>
      <c r="D12" s="15" t="s">
        <v>19</v>
      </c>
      <c r="E12" s="15" t="s">
        <v>3</v>
      </c>
      <c r="F12" s="16" t="s">
        <v>4</v>
      </c>
      <c r="G12" s="17" t="s">
        <v>6</v>
      </c>
      <c r="H12" s="11">
        <v>5432</v>
      </c>
      <c r="I12" s="29">
        <f t="shared" si="0"/>
        <v>1358</v>
      </c>
      <c r="J12" s="29">
        <f t="shared" si="1"/>
        <v>4074</v>
      </c>
    </row>
    <row r="13" spans="1:11" x14ac:dyDescent="0.15">
      <c r="A13" s="15" t="s">
        <v>34</v>
      </c>
      <c r="B13" s="18">
        <v>45660</v>
      </c>
      <c r="C13" s="15" t="s">
        <v>14</v>
      </c>
      <c r="D13" s="15" t="s">
        <v>15</v>
      </c>
      <c r="E13" s="15" t="s">
        <v>97</v>
      </c>
      <c r="F13" s="16" t="s">
        <v>10</v>
      </c>
      <c r="G13" s="17" t="s">
        <v>6</v>
      </c>
      <c r="H13" s="11">
        <v>6780</v>
      </c>
      <c r="I13" s="30">
        <f t="shared" si="0"/>
        <v>6780</v>
      </c>
      <c r="J13" s="29">
        <f t="shared" si="1"/>
        <v>0</v>
      </c>
    </row>
    <row r="14" spans="1:11" x14ac:dyDescent="0.15">
      <c r="A14" s="15" t="s">
        <v>35</v>
      </c>
      <c r="B14" s="18">
        <v>45660</v>
      </c>
      <c r="C14" s="4" t="s">
        <v>14</v>
      </c>
      <c r="D14" s="4" t="s">
        <v>15</v>
      </c>
      <c r="E14" s="4" t="s">
        <v>3</v>
      </c>
      <c r="F14" s="5" t="s">
        <v>10</v>
      </c>
      <c r="G14" s="6" t="s">
        <v>6</v>
      </c>
      <c r="H14" s="11">
        <v>27000</v>
      </c>
      <c r="I14" s="30">
        <f t="shared" si="0"/>
        <v>27000</v>
      </c>
      <c r="J14" s="29">
        <f t="shared" si="1"/>
        <v>0</v>
      </c>
    </row>
    <row r="15" spans="1:11" hidden="1" x14ac:dyDescent="0.15">
      <c r="A15" s="15" t="s">
        <v>36</v>
      </c>
      <c r="B15" s="18">
        <v>45661</v>
      </c>
      <c r="C15" s="15" t="s">
        <v>16</v>
      </c>
      <c r="D15" s="15" t="s">
        <v>17</v>
      </c>
      <c r="E15" s="15" t="s">
        <v>2</v>
      </c>
      <c r="F15" s="16" t="s">
        <v>4</v>
      </c>
      <c r="G15" s="17" t="s">
        <v>6</v>
      </c>
      <c r="H15" s="11">
        <v>10000</v>
      </c>
      <c r="I15" s="29">
        <f t="shared" si="0"/>
        <v>2500</v>
      </c>
      <c r="J15" s="29">
        <f t="shared" si="1"/>
        <v>7500</v>
      </c>
    </row>
    <row r="16" spans="1:11" hidden="1" x14ac:dyDescent="0.15">
      <c r="A16" s="15" t="s">
        <v>37</v>
      </c>
      <c r="B16" s="18">
        <v>45661</v>
      </c>
      <c r="C16" s="15" t="s">
        <v>18</v>
      </c>
      <c r="D16" s="15" t="s">
        <v>19</v>
      </c>
      <c r="E16" s="15" t="s">
        <v>2</v>
      </c>
      <c r="F16" s="16" t="s">
        <v>4</v>
      </c>
      <c r="G16" s="17" t="s">
        <v>6</v>
      </c>
      <c r="H16" s="11">
        <v>10000</v>
      </c>
      <c r="I16" s="29">
        <f t="shared" si="0"/>
        <v>2500</v>
      </c>
      <c r="J16" s="29">
        <f t="shared" si="1"/>
        <v>7500</v>
      </c>
    </row>
    <row r="17" spans="1:10" x14ac:dyDescent="0.15">
      <c r="A17" s="15" t="s">
        <v>38</v>
      </c>
      <c r="B17" s="18">
        <v>45661</v>
      </c>
      <c r="C17" s="15" t="s">
        <v>14</v>
      </c>
      <c r="D17" s="15" t="s">
        <v>15</v>
      </c>
      <c r="E17" s="15" t="s">
        <v>2</v>
      </c>
      <c r="F17" s="16" t="s">
        <v>10</v>
      </c>
      <c r="G17" s="17" t="s">
        <v>6</v>
      </c>
      <c r="H17" s="11">
        <v>4550</v>
      </c>
      <c r="I17" s="30">
        <f t="shared" si="0"/>
        <v>4550</v>
      </c>
      <c r="J17" s="29">
        <f t="shared" si="1"/>
        <v>0</v>
      </c>
    </row>
    <row r="18" spans="1:10" x14ac:dyDescent="0.15">
      <c r="A18" s="15" t="s">
        <v>39</v>
      </c>
      <c r="B18" s="18">
        <v>45661</v>
      </c>
      <c r="C18" s="15" t="s">
        <v>14</v>
      </c>
      <c r="D18" s="15" t="s">
        <v>15</v>
      </c>
      <c r="E18" s="15" t="s">
        <v>97</v>
      </c>
      <c r="F18" s="16" t="s">
        <v>10</v>
      </c>
      <c r="G18" s="17" t="s">
        <v>7</v>
      </c>
      <c r="H18" s="11">
        <v>8490</v>
      </c>
      <c r="I18" s="30">
        <f t="shared" si="0"/>
        <v>8490</v>
      </c>
      <c r="J18" s="29">
        <f t="shared" si="1"/>
        <v>0</v>
      </c>
    </row>
    <row r="19" spans="1:10" x14ac:dyDescent="0.15">
      <c r="A19" s="15" t="s">
        <v>40</v>
      </c>
      <c r="B19" s="18">
        <v>45661</v>
      </c>
      <c r="C19" s="15" t="s">
        <v>14</v>
      </c>
      <c r="D19" s="15" t="s">
        <v>15</v>
      </c>
      <c r="E19" s="15" t="s">
        <v>3</v>
      </c>
      <c r="F19" s="5" t="s">
        <v>10</v>
      </c>
      <c r="G19" s="17" t="s">
        <v>6</v>
      </c>
      <c r="H19" s="11">
        <v>5432</v>
      </c>
      <c r="I19" s="30">
        <f t="shared" si="0"/>
        <v>5432</v>
      </c>
      <c r="J19" s="29">
        <f t="shared" si="1"/>
        <v>0</v>
      </c>
    </row>
    <row r="20" spans="1:10" hidden="1" x14ac:dyDescent="0.15">
      <c r="A20" s="15" t="s">
        <v>41</v>
      </c>
      <c r="B20" s="18">
        <v>45661</v>
      </c>
      <c r="C20" s="15" t="s">
        <v>16</v>
      </c>
      <c r="D20" s="15" t="s">
        <v>17</v>
      </c>
      <c r="E20" s="15" t="s">
        <v>97</v>
      </c>
      <c r="F20" s="16" t="s">
        <v>10</v>
      </c>
      <c r="G20" s="17" t="s">
        <v>7</v>
      </c>
      <c r="H20" s="11">
        <v>7450</v>
      </c>
      <c r="I20" s="30">
        <f t="shared" si="0"/>
        <v>7450</v>
      </c>
      <c r="J20" s="29">
        <f t="shared" si="1"/>
        <v>0</v>
      </c>
    </row>
    <row r="21" spans="1:10" hidden="1" x14ac:dyDescent="0.15">
      <c r="A21" s="15" t="s">
        <v>42</v>
      </c>
      <c r="B21" s="18">
        <v>45661</v>
      </c>
      <c r="C21" s="15" t="s">
        <v>18</v>
      </c>
      <c r="D21" s="15" t="s">
        <v>19</v>
      </c>
      <c r="E21" s="15" t="s">
        <v>3</v>
      </c>
      <c r="F21" s="5" t="s">
        <v>10</v>
      </c>
      <c r="G21" s="17" t="s">
        <v>6</v>
      </c>
      <c r="H21" s="11">
        <v>5432</v>
      </c>
      <c r="I21" s="30">
        <f t="shared" si="0"/>
        <v>5432</v>
      </c>
      <c r="J21" s="29">
        <f t="shared" si="1"/>
        <v>0</v>
      </c>
    </row>
    <row r="22" spans="1:10" hidden="1" x14ac:dyDescent="0.15">
      <c r="A22" s="15" t="s">
        <v>43</v>
      </c>
      <c r="B22" s="18">
        <v>45661</v>
      </c>
      <c r="C22" s="15" t="s">
        <v>20</v>
      </c>
      <c r="D22" s="15" t="s">
        <v>21</v>
      </c>
      <c r="E22" s="4" t="s">
        <v>97</v>
      </c>
      <c r="F22" s="5" t="s">
        <v>10</v>
      </c>
      <c r="G22" s="6" t="s">
        <v>7</v>
      </c>
      <c r="H22" s="11">
        <v>6780</v>
      </c>
      <c r="I22" s="30">
        <f t="shared" si="0"/>
        <v>6780</v>
      </c>
      <c r="J22" s="29">
        <f t="shared" si="1"/>
        <v>0</v>
      </c>
    </row>
    <row r="23" spans="1:10" x14ac:dyDescent="0.15">
      <c r="A23" s="15" t="s">
        <v>44</v>
      </c>
      <c r="B23" s="18">
        <v>45662</v>
      </c>
      <c r="C23" s="15" t="s">
        <v>14</v>
      </c>
      <c r="D23" s="15" t="s">
        <v>15</v>
      </c>
      <c r="E23" s="15" t="s">
        <v>2</v>
      </c>
      <c r="F23" s="16" t="s">
        <v>4</v>
      </c>
      <c r="G23" s="17" t="s">
        <v>6</v>
      </c>
      <c r="H23" s="21">
        <v>7450</v>
      </c>
      <c r="I23" s="29">
        <f t="shared" si="0"/>
        <v>1862.5</v>
      </c>
      <c r="J23" s="29">
        <f t="shared" si="1"/>
        <v>5587.5</v>
      </c>
    </row>
    <row r="24" spans="1:10" x14ac:dyDescent="0.15">
      <c r="A24" s="15" t="s">
        <v>45</v>
      </c>
      <c r="B24" s="18">
        <v>45662</v>
      </c>
      <c r="C24" s="15" t="s">
        <v>14</v>
      </c>
      <c r="D24" s="15" t="s">
        <v>15</v>
      </c>
      <c r="E24" s="15" t="s">
        <v>2</v>
      </c>
      <c r="F24" s="16" t="s">
        <v>10</v>
      </c>
      <c r="G24" s="17" t="s">
        <v>6</v>
      </c>
      <c r="H24" s="21">
        <v>8560</v>
      </c>
      <c r="I24" s="31">
        <f t="shared" si="0"/>
        <v>8560</v>
      </c>
      <c r="J24" s="29">
        <f t="shared" si="1"/>
        <v>0</v>
      </c>
    </row>
    <row r="25" spans="1:10" x14ac:dyDescent="0.15">
      <c r="A25" s="15" t="s">
        <v>46</v>
      </c>
      <c r="B25" s="18">
        <v>45663</v>
      </c>
      <c r="C25" s="15" t="s">
        <v>14</v>
      </c>
      <c r="D25" s="15" t="s">
        <v>15</v>
      </c>
      <c r="E25" s="4" t="s">
        <v>2</v>
      </c>
      <c r="F25" s="5" t="s">
        <v>4</v>
      </c>
      <c r="G25" s="6" t="s">
        <v>7</v>
      </c>
      <c r="H25" s="11">
        <v>26500</v>
      </c>
      <c r="I25" s="29">
        <f t="shared" si="0"/>
        <v>6625</v>
      </c>
      <c r="J25" s="29">
        <f t="shared" si="1"/>
        <v>19875</v>
      </c>
    </row>
    <row r="26" spans="1:10" hidden="1" x14ac:dyDescent="0.15">
      <c r="A26" s="15" t="s">
        <v>47</v>
      </c>
      <c r="B26" s="18">
        <v>45663</v>
      </c>
      <c r="C26" s="4" t="s">
        <v>18</v>
      </c>
      <c r="D26" s="4" t="s">
        <v>19</v>
      </c>
      <c r="E26" s="4" t="s">
        <v>2</v>
      </c>
      <c r="F26" s="5" t="s">
        <v>4</v>
      </c>
      <c r="G26" s="6" t="s">
        <v>6</v>
      </c>
      <c r="H26" s="11">
        <v>5000</v>
      </c>
      <c r="I26" s="29">
        <f t="shared" si="0"/>
        <v>1250</v>
      </c>
      <c r="J26" s="29">
        <f t="shared" si="1"/>
        <v>3750</v>
      </c>
    </row>
    <row r="27" spans="1:10" hidden="1" x14ac:dyDescent="0.15">
      <c r="A27" s="15" t="s">
        <v>48</v>
      </c>
      <c r="B27" s="18">
        <v>45663</v>
      </c>
      <c r="C27" s="4" t="s">
        <v>20</v>
      </c>
      <c r="D27" s="4" t="s">
        <v>21</v>
      </c>
      <c r="E27" s="4" t="s">
        <v>97</v>
      </c>
      <c r="F27" s="5" t="s">
        <v>4</v>
      </c>
      <c r="G27" s="6" t="s">
        <v>7</v>
      </c>
      <c r="H27" s="11">
        <v>8560</v>
      </c>
      <c r="I27" s="29">
        <f t="shared" si="0"/>
        <v>2140</v>
      </c>
      <c r="J27" s="29">
        <f t="shared" si="1"/>
        <v>6420</v>
      </c>
    </row>
    <row r="28" spans="1:10" hidden="1" x14ac:dyDescent="0.15">
      <c r="A28" s="15" t="s">
        <v>49</v>
      </c>
      <c r="B28" s="18">
        <v>45664</v>
      </c>
      <c r="C28" s="15" t="s">
        <v>20</v>
      </c>
      <c r="D28" s="15" t="s">
        <v>21</v>
      </c>
      <c r="E28" s="15" t="s">
        <v>2</v>
      </c>
      <c r="F28" s="16" t="s">
        <v>4</v>
      </c>
      <c r="G28" s="17" t="s">
        <v>7</v>
      </c>
      <c r="H28" s="11">
        <v>5000</v>
      </c>
      <c r="I28" s="29">
        <f t="shared" si="0"/>
        <v>1250</v>
      </c>
      <c r="J28" s="29">
        <f t="shared" si="1"/>
        <v>3750</v>
      </c>
    </row>
    <row r="29" spans="1:10" hidden="1" x14ac:dyDescent="0.15">
      <c r="A29" s="15" t="s">
        <v>50</v>
      </c>
      <c r="B29" s="18">
        <v>45664</v>
      </c>
      <c r="C29" s="15" t="s">
        <v>16</v>
      </c>
      <c r="D29" s="15" t="s">
        <v>17</v>
      </c>
      <c r="E29" s="15" t="s">
        <v>97</v>
      </c>
      <c r="F29" s="16" t="s">
        <v>10</v>
      </c>
      <c r="G29" s="17" t="s">
        <v>6</v>
      </c>
      <c r="H29" s="11">
        <v>5400</v>
      </c>
      <c r="I29" s="30">
        <f t="shared" si="0"/>
        <v>5400</v>
      </c>
      <c r="J29" s="29">
        <f t="shared" si="1"/>
        <v>0</v>
      </c>
    </row>
    <row r="30" spans="1:10" hidden="1" x14ac:dyDescent="0.15">
      <c r="A30" s="15" t="s">
        <v>51</v>
      </c>
      <c r="B30" s="18">
        <v>45665</v>
      </c>
      <c r="C30" s="1" t="s">
        <v>18</v>
      </c>
      <c r="D30" s="1" t="s">
        <v>19</v>
      </c>
      <c r="E30" s="1" t="s">
        <v>97</v>
      </c>
      <c r="F30" s="2" t="s">
        <v>4</v>
      </c>
      <c r="G30" s="3" t="s">
        <v>6</v>
      </c>
      <c r="H30" s="12">
        <v>3240</v>
      </c>
      <c r="I30" s="29">
        <f t="shared" si="0"/>
        <v>810</v>
      </c>
      <c r="J30" s="29">
        <f t="shared" si="1"/>
        <v>2430</v>
      </c>
    </row>
    <row r="31" spans="1:10" x14ac:dyDescent="0.15">
      <c r="A31" s="15" t="s">
        <v>52</v>
      </c>
      <c r="B31" s="18">
        <v>45666</v>
      </c>
      <c r="C31" s="1" t="s">
        <v>14</v>
      </c>
      <c r="D31" s="1" t="s">
        <v>15</v>
      </c>
      <c r="E31" s="1" t="s">
        <v>2</v>
      </c>
      <c r="F31" s="2" t="s">
        <v>4</v>
      </c>
      <c r="G31" s="3" t="s">
        <v>7</v>
      </c>
      <c r="H31" s="12">
        <v>7400</v>
      </c>
      <c r="I31" s="29">
        <f t="shared" si="0"/>
        <v>1850</v>
      </c>
      <c r="J31" s="29">
        <f t="shared" si="1"/>
        <v>5550</v>
      </c>
    </row>
    <row r="32" spans="1:10" hidden="1" x14ac:dyDescent="0.15">
      <c r="A32" s="15" t="s">
        <v>53</v>
      </c>
      <c r="B32" s="18">
        <v>45666</v>
      </c>
      <c r="C32" s="1" t="s">
        <v>16</v>
      </c>
      <c r="D32" s="1" t="s">
        <v>17</v>
      </c>
      <c r="E32" s="1" t="s">
        <v>2</v>
      </c>
      <c r="F32" s="2" t="s">
        <v>4</v>
      </c>
      <c r="G32" s="3" t="s">
        <v>7</v>
      </c>
      <c r="H32" s="12">
        <v>22000</v>
      </c>
      <c r="I32" s="29">
        <f t="shared" si="0"/>
        <v>5500</v>
      </c>
      <c r="J32" s="29">
        <f t="shared" si="1"/>
        <v>16500</v>
      </c>
    </row>
    <row r="33" spans="1:10" hidden="1" x14ac:dyDescent="0.15">
      <c r="A33" s="15" t="s">
        <v>54</v>
      </c>
      <c r="B33" s="18">
        <v>45666</v>
      </c>
      <c r="C33" s="1" t="s">
        <v>16</v>
      </c>
      <c r="D33" s="1" t="s">
        <v>17</v>
      </c>
      <c r="E33" s="1" t="s">
        <v>3</v>
      </c>
      <c r="F33" s="2" t="s">
        <v>10</v>
      </c>
      <c r="G33" s="3" t="s">
        <v>7</v>
      </c>
      <c r="H33" s="12">
        <v>3240</v>
      </c>
      <c r="I33" s="32">
        <f t="shared" si="0"/>
        <v>3240</v>
      </c>
      <c r="J33" s="29">
        <f t="shared" si="1"/>
        <v>0</v>
      </c>
    </row>
    <row r="34" spans="1:10" hidden="1" x14ac:dyDescent="0.15">
      <c r="A34" s="15" t="s">
        <v>55</v>
      </c>
      <c r="B34" s="18">
        <v>45667</v>
      </c>
      <c r="C34" s="15" t="s">
        <v>20</v>
      </c>
      <c r="D34" s="15" t="s">
        <v>21</v>
      </c>
      <c r="E34" s="15" t="s">
        <v>3</v>
      </c>
      <c r="F34" s="16" t="s">
        <v>10</v>
      </c>
      <c r="G34" s="17" t="s">
        <v>6</v>
      </c>
      <c r="H34" s="12">
        <v>7690</v>
      </c>
      <c r="I34" s="32">
        <f t="shared" si="0"/>
        <v>7690</v>
      </c>
      <c r="J34" s="29">
        <f t="shared" si="1"/>
        <v>0</v>
      </c>
    </row>
    <row r="35" spans="1:10" x14ac:dyDescent="0.15">
      <c r="A35" s="15" t="s">
        <v>96</v>
      </c>
      <c r="B35" s="19">
        <v>45667</v>
      </c>
      <c r="C35" s="15" t="s">
        <v>14</v>
      </c>
      <c r="D35" s="15" t="s">
        <v>15</v>
      </c>
      <c r="E35" s="15" t="s">
        <v>97</v>
      </c>
      <c r="F35" s="16" t="s">
        <v>4</v>
      </c>
      <c r="G35" s="17" t="s">
        <v>7</v>
      </c>
      <c r="H35" s="21">
        <v>6000</v>
      </c>
      <c r="I35" s="21">
        <f t="shared" si="0"/>
        <v>1500</v>
      </c>
      <c r="J35" s="45">
        <f t="shared" si="1"/>
        <v>4500</v>
      </c>
    </row>
    <row r="36" spans="1:10" x14ac:dyDescent="0.15">
      <c r="A36" s="15" t="s">
        <v>56</v>
      </c>
      <c r="B36" s="18">
        <v>45668</v>
      </c>
      <c r="C36" s="1" t="s">
        <v>14</v>
      </c>
      <c r="D36" s="1" t="s">
        <v>15</v>
      </c>
      <c r="E36" s="1" t="s">
        <v>3</v>
      </c>
      <c r="F36" s="2" t="s">
        <v>4</v>
      </c>
      <c r="G36" s="3" t="s">
        <v>7</v>
      </c>
      <c r="H36" s="12">
        <v>7500</v>
      </c>
      <c r="I36" s="29">
        <f t="shared" si="0"/>
        <v>1875</v>
      </c>
      <c r="J36" s="29">
        <f t="shared" si="1"/>
        <v>5625</v>
      </c>
    </row>
    <row r="37" spans="1:10" hidden="1" x14ac:dyDescent="0.15">
      <c r="A37" s="15" t="s">
        <v>57</v>
      </c>
      <c r="B37" s="18">
        <v>45668</v>
      </c>
      <c r="C37" s="1" t="s">
        <v>18</v>
      </c>
      <c r="D37" s="1" t="s">
        <v>19</v>
      </c>
      <c r="E37" s="1" t="s">
        <v>2</v>
      </c>
      <c r="F37" s="2" t="s">
        <v>10</v>
      </c>
      <c r="G37" s="3" t="s">
        <v>7</v>
      </c>
      <c r="H37" s="12">
        <v>7500</v>
      </c>
      <c r="I37" s="32">
        <f t="shared" si="0"/>
        <v>7500</v>
      </c>
      <c r="J37" s="29">
        <f t="shared" si="1"/>
        <v>0</v>
      </c>
    </row>
    <row r="38" spans="1:10" hidden="1" x14ac:dyDescent="0.15">
      <c r="A38" s="15" t="s">
        <v>58</v>
      </c>
      <c r="B38" s="18">
        <v>45668</v>
      </c>
      <c r="C38" s="1" t="s">
        <v>20</v>
      </c>
      <c r="D38" s="1" t="s">
        <v>21</v>
      </c>
      <c r="E38" s="1" t="s">
        <v>97</v>
      </c>
      <c r="F38" s="2" t="s">
        <v>10</v>
      </c>
      <c r="G38" s="3" t="s">
        <v>7</v>
      </c>
      <c r="H38" s="12">
        <v>4650</v>
      </c>
      <c r="I38" s="32">
        <f t="shared" ref="I38:I69" si="2">IF(F38="Paid in Full", H38, H38 * $C$3)</f>
        <v>4650</v>
      </c>
      <c r="J38" s="29">
        <f t="shared" ref="J38:J69" si="3">H38-I38</f>
        <v>0</v>
      </c>
    </row>
    <row r="39" spans="1:10" x14ac:dyDescent="0.15">
      <c r="A39" s="15" t="s">
        <v>59</v>
      </c>
      <c r="B39" s="18">
        <v>45669</v>
      </c>
      <c r="C39" s="15" t="s">
        <v>14</v>
      </c>
      <c r="D39" s="15" t="s">
        <v>15</v>
      </c>
      <c r="E39" s="15" t="s">
        <v>97</v>
      </c>
      <c r="F39" s="16" t="s">
        <v>4</v>
      </c>
      <c r="G39" s="17" t="s">
        <v>6</v>
      </c>
      <c r="H39" s="12">
        <v>6700</v>
      </c>
      <c r="I39" s="29">
        <f t="shared" si="2"/>
        <v>1675</v>
      </c>
      <c r="J39" s="29">
        <f t="shared" si="3"/>
        <v>5025</v>
      </c>
    </row>
    <row r="40" spans="1:10" hidden="1" x14ac:dyDescent="0.15">
      <c r="A40" s="15" t="s">
        <v>60</v>
      </c>
      <c r="B40" s="18">
        <v>45670</v>
      </c>
      <c r="C40" s="1" t="s">
        <v>16</v>
      </c>
      <c r="D40" s="1" t="s">
        <v>17</v>
      </c>
      <c r="E40" s="1" t="s">
        <v>3</v>
      </c>
      <c r="F40" s="2" t="s">
        <v>4</v>
      </c>
      <c r="G40" s="3" t="s">
        <v>7</v>
      </c>
      <c r="H40" s="12">
        <v>6540</v>
      </c>
      <c r="I40" s="29">
        <f t="shared" si="2"/>
        <v>1635</v>
      </c>
      <c r="J40" s="29">
        <f t="shared" si="3"/>
        <v>4905</v>
      </c>
    </row>
    <row r="41" spans="1:10" hidden="1" x14ac:dyDescent="0.15">
      <c r="A41" s="15" t="s">
        <v>61</v>
      </c>
      <c r="B41" s="18">
        <v>45671</v>
      </c>
      <c r="C41" s="1" t="s">
        <v>16</v>
      </c>
      <c r="D41" s="1" t="s">
        <v>17</v>
      </c>
      <c r="E41" s="1" t="s">
        <v>97</v>
      </c>
      <c r="F41" s="2" t="s">
        <v>10</v>
      </c>
      <c r="G41" s="3" t="s">
        <v>7</v>
      </c>
      <c r="H41" s="12">
        <v>4800</v>
      </c>
      <c r="I41" s="32">
        <f t="shared" si="2"/>
        <v>4800</v>
      </c>
      <c r="J41" s="29">
        <f t="shared" si="3"/>
        <v>0</v>
      </c>
    </row>
    <row r="42" spans="1:10" x14ac:dyDescent="0.15">
      <c r="A42" s="15" t="s">
        <v>62</v>
      </c>
      <c r="B42" s="18">
        <v>45672</v>
      </c>
      <c r="C42" s="15" t="s">
        <v>14</v>
      </c>
      <c r="D42" s="15" t="s">
        <v>15</v>
      </c>
      <c r="E42" s="15" t="s">
        <v>2</v>
      </c>
      <c r="F42" s="16" t="s">
        <v>10</v>
      </c>
      <c r="G42" s="17" t="s">
        <v>6</v>
      </c>
      <c r="H42" s="12">
        <v>7200</v>
      </c>
      <c r="I42" s="32">
        <f t="shared" si="2"/>
        <v>7200</v>
      </c>
      <c r="J42" s="29">
        <f t="shared" si="3"/>
        <v>0</v>
      </c>
    </row>
    <row r="43" spans="1:10" hidden="1" x14ac:dyDescent="0.15">
      <c r="A43" s="15" t="s">
        <v>63</v>
      </c>
      <c r="B43" s="18">
        <v>45673</v>
      </c>
      <c r="C43" s="1" t="s">
        <v>18</v>
      </c>
      <c r="D43" s="1" t="s">
        <v>19</v>
      </c>
      <c r="E43" s="1" t="s">
        <v>97</v>
      </c>
      <c r="F43" s="2" t="s">
        <v>10</v>
      </c>
      <c r="G43" s="3" t="s">
        <v>6</v>
      </c>
      <c r="H43" s="12">
        <v>32000</v>
      </c>
      <c r="I43" s="32">
        <f t="shared" si="2"/>
        <v>32000</v>
      </c>
      <c r="J43" s="29">
        <f t="shared" si="3"/>
        <v>0</v>
      </c>
    </row>
    <row r="44" spans="1:10" hidden="1" x14ac:dyDescent="0.15">
      <c r="A44" s="15" t="s">
        <v>64</v>
      </c>
      <c r="B44" s="18">
        <v>45674</v>
      </c>
      <c r="C44" s="15" t="s">
        <v>20</v>
      </c>
      <c r="D44" s="15" t="s">
        <v>21</v>
      </c>
      <c r="E44" s="15" t="s">
        <v>2</v>
      </c>
      <c r="F44" s="16" t="s">
        <v>4</v>
      </c>
      <c r="G44" s="17" t="s">
        <v>6</v>
      </c>
      <c r="H44" s="12">
        <v>12000</v>
      </c>
      <c r="I44" s="29">
        <f t="shared" si="2"/>
        <v>3000</v>
      </c>
      <c r="J44" s="29">
        <f t="shared" si="3"/>
        <v>9000</v>
      </c>
    </row>
    <row r="45" spans="1:10" x14ac:dyDescent="0.15">
      <c r="A45" s="15" t="s">
        <v>65</v>
      </c>
      <c r="B45" s="18">
        <v>45675</v>
      </c>
      <c r="C45" s="15" t="s">
        <v>14</v>
      </c>
      <c r="D45" s="15" t="s">
        <v>15</v>
      </c>
      <c r="E45" s="1" t="s">
        <v>2</v>
      </c>
      <c r="F45" s="2" t="s">
        <v>4</v>
      </c>
      <c r="G45" s="3" t="s">
        <v>6</v>
      </c>
      <c r="H45" s="12">
        <v>3200</v>
      </c>
      <c r="I45" s="29">
        <f t="shared" si="2"/>
        <v>800</v>
      </c>
      <c r="J45" s="29">
        <f t="shared" si="3"/>
        <v>2400</v>
      </c>
    </row>
    <row r="46" spans="1:10" hidden="1" x14ac:dyDescent="0.15">
      <c r="A46" s="15" t="s">
        <v>66</v>
      </c>
      <c r="B46" s="18">
        <v>45675</v>
      </c>
      <c r="C46" s="15" t="s">
        <v>20</v>
      </c>
      <c r="D46" s="15" t="s">
        <v>21</v>
      </c>
      <c r="E46" s="15" t="s">
        <v>3</v>
      </c>
      <c r="F46" s="16" t="s">
        <v>4</v>
      </c>
      <c r="G46" s="17" t="s">
        <v>6</v>
      </c>
      <c r="H46" s="12">
        <v>12350</v>
      </c>
      <c r="I46" s="29">
        <f t="shared" si="2"/>
        <v>3087.5</v>
      </c>
      <c r="J46" s="29">
        <f t="shared" si="3"/>
        <v>9262.5</v>
      </c>
    </row>
    <row r="47" spans="1:10" x14ac:dyDescent="0.15">
      <c r="A47" s="15" t="s">
        <v>67</v>
      </c>
      <c r="B47" s="18">
        <v>45675</v>
      </c>
      <c r="C47" s="1" t="s">
        <v>14</v>
      </c>
      <c r="D47" s="1" t="s">
        <v>15</v>
      </c>
      <c r="E47" s="1" t="s">
        <v>2</v>
      </c>
      <c r="F47" s="2" t="s">
        <v>10</v>
      </c>
      <c r="G47" s="3" t="s">
        <v>7</v>
      </c>
      <c r="H47" s="12">
        <v>18000</v>
      </c>
      <c r="I47" s="32">
        <f t="shared" si="2"/>
        <v>18000</v>
      </c>
      <c r="J47" s="29">
        <f t="shared" si="3"/>
        <v>0</v>
      </c>
    </row>
    <row r="48" spans="1:10" x14ac:dyDescent="0.15">
      <c r="A48" s="15" t="s">
        <v>68</v>
      </c>
      <c r="B48" s="18">
        <v>45676</v>
      </c>
      <c r="C48" s="1" t="s">
        <v>14</v>
      </c>
      <c r="D48" s="1" t="s">
        <v>15</v>
      </c>
      <c r="E48" s="1" t="s">
        <v>2</v>
      </c>
      <c r="F48" s="2" t="s">
        <v>10</v>
      </c>
      <c r="G48" s="3" t="s">
        <v>6</v>
      </c>
      <c r="H48" s="12">
        <v>4500</v>
      </c>
      <c r="I48" s="32">
        <f t="shared" si="2"/>
        <v>4500</v>
      </c>
      <c r="J48" s="29">
        <f t="shared" si="3"/>
        <v>0</v>
      </c>
    </row>
    <row r="49" spans="1:10" hidden="1" x14ac:dyDescent="0.15">
      <c r="A49" s="15" t="s">
        <v>69</v>
      </c>
      <c r="B49" s="18">
        <v>45676</v>
      </c>
      <c r="C49" s="1" t="s">
        <v>16</v>
      </c>
      <c r="D49" s="1" t="s">
        <v>17</v>
      </c>
      <c r="E49" s="1" t="s">
        <v>2</v>
      </c>
      <c r="F49" s="2" t="s">
        <v>10</v>
      </c>
      <c r="G49" s="3" t="s">
        <v>6</v>
      </c>
      <c r="H49" s="12">
        <v>12500</v>
      </c>
      <c r="I49" s="32">
        <f t="shared" si="2"/>
        <v>12500</v>
      </c>
      <c r="J49" s="29">
        <f t="shared" si="3"/>
        <v>0</v>
      </c>
    </row>
    <row r="50" spans="1:10" hidden="1" x14ac:dyDescent="0.15">
      <c r="A50" s="15" t="s">
        <v>70</v>
      </c>
      <c r="B50" s="18">
        <v>45677</v>
      </c>
      <c r="C50" s="15" t="s">
        <v>18</v>
      </c>
      <c r="D50" s="15" t="s">
        <v>19</v>
      </c>
      <c r="E50" s="15" t="s">
        <v>97</v>
      </c>
      <c r="F50" s="16" t="s">
        <v>4</v>
      </c>
      <c r="G50" s="17" t="s">
        <v>7</v>
      </c>
      <c r="H50" s="12">
        <v>7500</v>
      </c>
      <c r="I50" s="29">
        <f t="shared" si="2"/>
        <v>1875</v>
      </c>
      <c r="J50" s="29">
        <f t="shared" si="3"/>
        <v>5625</v>
      </c>
    </row>
    <row r="51" spans="1:10" hidden="1" x14ac:dyDescent="0.15">
      <c r="A51" s="15" t="s">
        <v>71</v>
      </c>
      <c r="B51" s="18">
        <v>45678</v>
      </c>
      <c r="C51" s="1" t="s">
        <v>16</v>
      </c>
      <c r="D51" s="1" t="s">
        <v>17</v>
      </c>
      <c r="E51" s="1" t="s">
        <v>3</v>
      </c>
      <c r="F51" s="2" t="s">
        <v>4</v>
      </c>
      <c r="G51" s="3" t="s">
        <v>6</v>
      </c>
      <c r="H51" s="12">
        <v>3450</v>
      </c>
      <c r="I51" s="29">
        <f t="shared" si="2"/>
        <v>862.5</v>
      </c>
      <c r="J51" s="29">
        <f t="shared" si="3"/>
        <v>2587.5</v>
      </c>
    </row>
    <row r="52" spans="1:10" hidden="1" x14ac:dyDescent="0.15">
      <c r="A52" s="15" t="s">
        <v>72</v>
      </c>
      <c r="B52" s="18">
        <v>45678</v>
      </c>
      <c r="C52" s="1" t="s">
        <v>18</v>
      </c>
      <c r="D52" s="1" t="s">
        <v>19</v>
      </c>
      <c r="E52" s="1" t="s">
        <v>2</v>
      </c>
      <c r="F52" s="2" t="s">
        <v>4</v>
      </c>
      <c r="G52" s="3" t="s">
        <v>7</v>
      </c>
      <c r="H52" s="12">
        <v>8000</v>
      </c>
      <c r="I52" s="29">
        <f t="shared" si="2"/>
        <v>2000</v>
      </c>
      <c r="J52" s="29">
        <f t="shared" si="3"/>
        <v>6000</v>
      </c>
    </row>
    <row r="53" spans="1:10" hidden="1" x14ac:dyDescent="0.15">
      <c r="A53" s="15" t="s">
        <v>73</v>
      </c>
      <c r="B53" s="18">
        <v>45678</v>
      </c>
      <c r="C53" s="1" t="s">
        <v>18</v>
      </c>
      <c r="D53" s="1" t="s">
        <v>19</v>
      </c>
      <c r="E53" s="1" t="s">
        <v>3</v>
      </c>
      <c r="F53" s="2" t="s">
        <v>4</v>
      </c>
      <c r="G53" s="3" t="s">
        <v>6</v>
      </c>
      <c r="H53" s="12">
        <v>17500</v>
      </c>
      <c r="I53" s="29">
        <f t="shared" si="2"/>
        <v>4375</v>
      </c>
      <c r="J53" s="29">
        <f t="shared" si="3"/>
        <v>13125</v>
      </c>
    </row>
    <row r="54" spans="1:10" hidden="1" x14ac:dyDescent="0.15">
      <c r="A54" s="15" t="s">
        <v>74</v>
      </c>
      <c r="B54" s="18">
        <v>45678</v>
      </c>
      <c r="C54" s="1" t="s">
        <v>20</v>
      </c>
      <c r="D54" s="1" t="s">
        <v>21</v>
      </c>
      <c r="E54" s="1" t="s">
        <v>97</v>
      </c>
      <c r="F54" s="2" t="s">
        <v>4</v>
      </c>
      <c r="G54" s="3" t="s">
        <v>6</v>
      </c>
      <c r="H54" s="12">
        <v>5600</v>
      </c>
      <c r="I54" s="29">
        <f t="shared" si="2"/>
        <v>1400</v>
      </c>
      <c r="J54" s="29">
        <f t="shared" si="3"/>
        <v>4200</v>
      </c>
    </row>
    <row r="55" spans="1:10" hidden="1" x14ac:dyDescent="0.15">
      <c r="A55" s="15" t="s">
        <v>75</v>
      </c>
      <c r="B55" s="18">
        <v>45678</v>
      </c>
      <c r="C55" s="1" t="s">
        <v>20</v>
      </c>
      <c r="D55" s="1" t="s">
        <v>21</v>
      </c>
      <c r="E55" s="1" t="s">
        <v>2</v>
      </c>
      <c r="F55" s="2" t="s">
        <v>10</v>
      </c>
      <c r="G55" s="3" t="s">
        <v>6</v>
      </c>
      <c r="H55" s="12">
        <v>18500</v>
      </c>
      <c r="I55" s="32">
        <f t="shared" si="2"/>
        <v>18500</v>
      </c>
      <c r="J55" s="29">
        <f t="shared" si="3"/>
        <v>0</v>
      </c>
    </row>
    <row r="56" spans="1:10" hidden="1" x14ac:dyDescent="0.15">
      <c r="A56" s="15" t="s">
        <v>76</v>
      </c>
      <c r="B56" s="18">
        <v>45678</v>
      </c>
      <c r="C56" s="1" t="s">
        <v>20</v>
      </c>
      <c r="D56" s="1" t="s">
        <v>21</v>
      </c>
      <c r="E56" s="1" t="s">
        <v>3</v>
      </c>
      <c r="F56" s="2" t="s">
        <v>10</v>
      </c>
      <c r="G56" s="3" t="s">
        <v>6</v>
      </c>
      <c r="H56" s="12">
        <v>5400</v>
      </c>
      <c r="I56" s="32">
        <f t="shared" si="2"/>
        <v>5400</v>
      </c>
      <c r="J56" s="29">
        <f t="shared" si="3"/>
        <v>0</v>
      </c>
    </row>
    <row r="57" spans="1:10" x14ac:dyDescent="0.15">
      <c r="A57" s="15" t="s">
        <v>77</v>
      </c>
      <c r="B57" s="18">
        <v>45679</v>
      </c>
      <c r="C57" s="1" t="s">
        <v>14</v>
      </c>
      <c r="D57" s="1" t="s">
        <v>15</v>
      </c>
      <c r="E57" s="1" t="s">
        <v>97</v>
      </c>
      <c r="F57" s="2" t="s">
        <v>10</v>
      </c>
      <c r="G57" s="3" t="s">
        <v>6</v>
      </c>
      <c r="H57" s="12">
        <v>6540</v>
      </c>
      <c r="I57" s="32">
        <f t="shared" si="2"/>
        <v>6540</v>
      </c>
      <c r="J57" s="29">
        <f t="shared" si="3"/>
        <v>0</v>
      </c>
    </row>
    <row r="58" spans="1:10" hidden="1" x14ac:dyDescent="0.15">
      <c r="A58" s="15" t="s">
        <v>78</v>
      </c>
      <c r="B58" s="18">
        <v>45680</v>
      </c>
      <c r="C58" s="15" t="s">
        <v>20</v>
      </c>
      <c r="D58" s="15" t="s">
        <v>21</v>
      </c>
      <c r="E58" s="15" t="s">
        <v>97</v>
      </c>
      <c r="F58" s="16" t="s">
        <v>4</v>
      </c>
      <c r="G58" s="17" t="s">
        <v>6</v>
      </c>
      <c r="H58" s="12">
        <v>5600</v>
      </c>
      <c r="I58" s="29">
        <f t="shared" si="2"/>
        <v>1400</v>
      </c>
      <c r="J58" s="29">
        <f t="shared" si="3"/>
        <v>4200</v>
      </c>
    </row>
    <row r="59" spans="1:10" x14ac:dyDescent="0.15">
      <c r="A59" s="15" t="s">
        <v>79</v>
      </c>
      <c r="B59" s="18">
        <v>45681</v>
      </c>
      <c r="C59" s="15" t="s">
        <v>14</v>
      </c>
      <c r="D59" s="15" t="s">
        <v>15</v>
      </c>
      <c r="E59" s="15" t="s">
        <v>2</v>
      </c>
      <c r="F59" s="16" t="s">
        <v>4</v>
      </c>
      <c r="G59" s="17" t="s">
        <v>7</v>
      </c>
      <c r="H59" s="12">
        <v>6000</v>
      </c>
      <c r="I59" s="29">
        <f t="shared" si="2"/>
        <v>1500</v>
      </c>
      <c r="J59" s="29">
        <f t="shared" si="3"/>
        <v>4500</v>
      </c>
    </row>
    <row r="60" spans="1:10" x14ac:dyDescent="0.15">
      <c r="A60" s="15" t="s">
        <v>80</v>
      </c>
      <c r="B60" s="18">
        <v>45682</v>
      </c>
      <c r="C60" s="15" t="s">
        <v>14</v>
      </c>
      <c r="D60" s="15" t="s">
        <v>15</v>
      </c>
      <c r="E60" s="1" t="s">
        <v>3</v>
      </c>
      <c r="F60" s="2" t="s">
        <v>4</v>
      </c>
      <c r="G60" s="3" t="s">
        <v>7</v>
      </c>
      <c r="H60" s="12">
        <v>12500</v>
      </c>
      <c r="I60" s="29">
        <f t="shared" si="2"/>
        <v>3125</v>
      </c>
      <c r="J60" s="29">
        <f t="shared" si="3"/>
        <v>9375</v>
      </c>
    </row>
    <row r="61" spans="1:10" x14ac:dyDescent="0.15">
      <c r="A61" s="15" t="s">
        <v>81</v>
      </c>
      <c r="B61" s="18">
        <v>45683</v>
      </c>
      <c r="C61" s="15" t="s">
        <v>14</v>
      </c>
      <c r="D61" s="15" t="s">
        <v>15</v>
      </c>
      <c r="E61" s="1" t="s">
        <v>3</v>
      </c>
      <c r="F61" s="2" t="s">
        <v>10</v>
      </c>
      <c r="G61" s="3" t="s">
        <v>7</v>
      </c>
      <c r="H61" s="12">
        <v>22500</v>
      </c>
      <c r="I61" s="32">
        <f t="shared" si="2"/>
        <v>22500</v>
      </c>
      <c r="J61" s="29">
        <f t="shared" si="3"/>
        <v>0</v>
      </c>
    </row>
    <row r="62" spans="1:10" hidden="1" x14ac:dyDescent="0.15">
      <c r="A62" s="15" t="s">
        <v>82</v>
      </c>
      <c r="B62" s="18">
        <v>45683</v>
      </c>
      <c r="C62" s="1" t="s">
        <v>18</v>
      </c>
      <c r="D62" s="1" t="s">
        <v>19</v>
      </c>
      <c r="E62" s="1" t="s">
        <v>2</v>
      </c>
      <c r="F62" s="2" t="s">
        <v>10</v>
      </c>
      <c r="G62" s="3" t="s">
        <v>7</v>
      </c>
      <c r="H62" s="12">
        <v>25000</v>
      </c>
      <c r="I62" s="32">
        <f t="shared" si="2"/>
        <v>25000</v>
      </c>
      <c r="J62" s="29">
        <f t="shared" si="3"/>
        <v>0</v>
      </c>
    </row>
    <row r="63" spans="1:10" x14ac:dyDescent="0.15">
      <c r="A63" s="15" t="s">
        <v>83</v>
      </c>
      <c r="B63" s="18">
        <v>45684</v>
      </c>
      <c r="C63" s="15" t="s">
        <v>14</v>
      </c>
      <c r="D63" s="15" t="s">
        <v>15</v>
      </c>
      <c r="E63" s="15" t="s">
        <v>2</v>
      </c>
      <c r="F63" s="16" t="s">
        <v>4</v>
      </c>
      <c r="G63" s="17" t="s">
        <v>7</v>
      </c>
      <c r="H63" s="12">
        <v>7540</v>
      </c>
      <c r="I63" s="29">
        <f t="shared" si="2"/>
        <v>1885</v>
      </c>
      <c r="J63" s="29">
        <f t="shared" si="3"/>
        <v>5655</v>
      </c>
    </row>
    <row r="64" spans="1:10" hidden="1" x14ac:dyDescent="0.15">
      <c r="A64" s="15" t="s">
        <v>84</v>
      </c>
      <c r="B64" s="18">
        <v>45684</v>
      </c>
      <c r="C64" s="15" t="s">
        <v>18</v>
      </c>
      <c r="D64" s="15" t="s">
        <v>19</v>
      </c>
      <c r="E64" s="15" t="s">
        <v>2</v>
      </c>
      <c r="F64" s="16" t="s">
        <v>4</v>
      </c>
      <c r="G64" s="17" t="s">
        <v>7</v>
      </c>
      <c r="H64" s="12">
        <v>7540</v>
      </c>
      <c r="I64" s="29">
        <f t="shared" si="2"/>
        <v>1885</v>
      </c>
      <c r="J64" s="29">
        <f t="shared" si="3"/>
        <v>5655</v>
      </c>
    </row>
    <row r="65" spans="1:10" hidden="1" x14ac:dyDescent="0.15">
      <c r="A65" s="15" t="s">
        <v>85</v>
      </c>
      <c r="B65" s="18">
        <v>45684</v>
      </c>
      <c r="C65" s="15" t="s">
        <v>18</v>
      </c>
      <c r="D65" s="15" t="s">
        <v>19</v>
      </c>
      <c r="E65" s="15" t="s">
        <v>3</v>
      </c>
      <c r="F65" s="16" t="s">
        <v>10</v>
      </c>
      <c r="G65" s="17" t="s">
        <v>6</v>
      </c>
      <c r="H65" s="12">
        <v>12500</v>
      </c>
      <c r="I65" s="32">
        <f t="shared" si="2"/>
        <v>12500</v>
      </c>
      <c r="J65" s="29">
        <f t="shared" si="3"/>
        <v>0</v>
      </c>
    </row>
    <row r="66" spans="1:10" hidden="1" x14ac:dyDescent="0.15">
      <c r="A66" s="15" t="s">
        <v>86</v>
      </c>
      <c r="B66" s="18">
        <v>45685</v>
      </c>
      <c r="C66" s="15" t="s">
        <v>20</v>
      </c>
      <c r="D66" s="15" t="s">
        <v>21</v>
      </c>
      <c r="E66" s="15" t="s">
        <v>2</v>
      </c>
      <c r="F66" s="16" t="s">
        <v>4</v>
      </c>
      <c r="G66" s="17" t="s">
        <v>6</v>
      </c>
      <c r="H66" s="12">
        <v>9430</v>
      </c>
      <c r="I66" s="29">
        <f t="shared" si="2"/>
        <v>2357.5</v>
      </c>
      <c r="J66" s="29">
        <f t="shared" si="3"/>
        <v>7072.5</v>
      </c>
    </row>
    <row r="67" spans="1:10" hidden="1" x14ac:dyDescent="0.15">
      <c r="A67" s="15" t="s">
        <v>87</v>
      </c>
      <c r="B67" s="18">
        <v>45685</v>
      </c>
      <c r="C67" s="15" t="s">
        <v>20</v>
      </c>
      <c r="D67" s="15" t="s">
        <v>21</v>
      </c>
      <c r="E67" s="15" t="s">
        <v>97</v>
      </c>
      <c r="F67" s="16" t="s">
        <v>4</v>
      </c>
      <c r="G67" s="17" t="s">
        <v>7</v>
      </c>
      <c r="H67" s="12">
        <v>10000</v>
      </c>
      <c r="I67" s="29">
        <f t="shared" si="2"/>
        <v>2500</v>
      </c>
      <c r="J67" s="29">
        <f t="shared" si="3"/>
        <v>7500</v>
      </c>
    </row>
    <row r="68" spans="1:10" x14ac:dyDescent="0.15">
      <c r="A68" s="15" t="s">
        <v>88</v>
      </c>
      <c r="B68" s="18">
        <v>45685</v>
      </c>
      <c r="C68" s="15" t="s">
        <v>14</v>
      </c>
      <c r="D68" s="15" t="s">
        <v>15</v>
      </c>
      <c r="E68" s="15" t="s">
        <v>3</v>
      </c>
      <c r="F68" s="16" t="s">
        <v>10</v>
      </c>
      <c r="G68" s="17" t="s">
        <v>6</v>
      </c>
      <c r="H68" s="12">
        <v>8400</v>
      </c>
      <c r="I68" s="32">
        <f t="shared" si="2"/>
        <v>8400</v>
      </c>
      <c r="J68" s="29">
        <f t="shared" si="3"/>
        <v>0</v>
      </c>
    </row>
    <row r="69" spans="1:10" hidden="1" x14ac:dyDescent="0.15">
      <c r="A69" s="15" t="s">
        <v>89</v>
      </c>
      <c r="B69" s="19">
        <v>45686</v>
      </c>
      <c r="C69" s="15" t="s">
        <v>16</v>
      </c>
      <c r="D69" s="15" t="s">
        <v>17</v>
      </c>
      <c r="E69" s="15" t="s">
        <v>97</v>
      </c>
      <c r="F69" s="16" t="s">
        <v>4</v>
      </c>
      <c r="G69" s="17" t="s">
        <v>6</v>
      </c>
      <c r="H69" s="12">
        <v>7730</v>
      </c>
      <c r="I69" s="29">
        <f t="shared" si="2"/>
        <v>1932.5</v>
      </c>
      <c r="J69" s="29">
        <f t="shared" si="3"/>
        <v>5797.5</v>
      </c>
    </row>
    <row r="70" spans="1:10" hidden="1" x14ac:dyDescent="0.15">
      <c r="A70" s="15" t="s">
        <v>90</v>
      </c>
      <c r="B70" s="19">
        <v>45686</v>
      </c>
      <c r="C70" s="15" t="s">
        <v>16</v>
      </c>
      <c r="D70" s="15" t="s">
        <v>17</v>
      </c>
      <c r="E70" s="15" t="s">
        <v>3</v>
      </c>
      <c r="F70" s="16" t="s">
        <v>4</v>
      </c>
      <c r="G70" s="17" t="s">
        <v>6</v>
      </c>
      <c r="H70" s="12">
        <v>8400</v>
      </c>
      <c r="I70" s="29">
        <f t="shared" ref="I70:I75" si="4">IF(F70="Paid in Full", H70, H70 * $C$3)</f>
        <v>2100</v>
      </c>
      <c r="J70" s="29">
        <f t="shared" ref="J70:J75" si="5">H70-I70</f>
        <v>6300</v>
      </c>
    </row>
    <row r="71" spans="1:10" hidden="1" x14ac:dyDescent="0.15">
      <c r="A71" s="15" t="s">
        <v>91</v>
      </c>
      <c r="B71" s="18">
        <v>45687</v>
      </c>
      <c r="C71" s="1" t="s">
        <v>18</v>
      </c>
      <c r="D71" s="1" t="s">
        <v>19</v>
      </c>
      <c r="E71" s="1" t="s">
        <v>3</v>
      </c>
      <c r="F71" s="2" t="s">
        <v>4</v>
      </c>
      <c r="G71" s="3" t="s">
        <v>6</v>
      </c>
      <c r="H71" s="12">
        <v>4080</v>
      </c>
      <c r="I71" s="29">
        <f t="shared" si="4"/>
        <v>1020</v>
      </c>
      <c r="J71" s="29">
        <f t="shared" si="5"/>
        <v>3060</v>
      </c>
    </row>
    <row r="72" spans="1:10" hidden="1" x14ac:dyDescent="0.15">
      <c r="A72" s="15" t="s">
        <v>92</v>
      </c>
      <c r="B72" s="18">
        <v>45687</v>
      </c>
      <c r="C72" s="1" t="s">
        <v>20</v>
      </c>
      <c r="D72" s="1" t="s">
        <v>21</v>
      </c>
      <c r="E72" s="1" t="s">
        <v>2</v>
      </c>
      <c r="F72" s="2" t="s">
        <v>10</v>
      </c>
      <c r="G72" s="3" t="s">
        <v>6</v>
      </c>
      <c r="H72" s="12">
        <v>12000</v>
      </c>
      <c r="I72" s="32">
        <f t="shared" si="4"/>
        <v>12000</v>
      </c>
      <c r="J72" s="29">
        <f t="shared" si="5"/>
        <v>0</v>
      </c>
    </row>
    <row r="73" spans="1:10" x14ac:dyDescent="0.15">
      <c r="A73" s="15" t="s">
        <v>93</v>
      </c>
      <c r="B73" s="18">
        <v>45688</v>
      </c>
      <c r="C73" s="1" t="s">
        <v>14</v>
      </c>
      <c r="D73" s="1" t="s">
        <v>15</v>
      </c>
      <c r="E73" s="1" t="s">
        <v>2</v>
      </c>
      <c r="F73" s="2" t="s">
        <v>4</v>
      </c>
      <c r="G73" s="3" t="s">
        <v>6</v>
      </c>
      <c r="H73" s="12">
        <v>3000</v>
      </c>
      <c r="I73" s="29">
        <f t="shared" si="4"/>
        <v>750</v>
      </c>
      <c r="J73" s="29">
        <f t="shared" si="5"/>
        <v>2250</v>
      </c>
    </row>
    <row r="74" spans="1:10" hidden="1" x14ac:dyDescent="0.15">
      <c r="A74" s="15" t="s">
        <v>94</v>
      </c>
      <c r="B74" s="18">
        <v>45688</v>
      </c>
      <c r="C74" s="1" t="s">
        <v>20</v>
      </c>
      <c r="D74" s="1" t="s">
        <v>21</v>
      </c>
      <c r="E74" s="1" t="s">
        <v>3</v>
      </c>
      <c r="F74" s="2" t="s">
        <v>10</v>
      </c>
      <c r="G74" s="3" t="s">
        <v>6</v>
      </c>
      <c r="H74" s="12">
        <v>21500</v>
      </c>
      <c r="I74" s="32">
        <f t="shared" si="4"/>
        <v>21500</v>
      </c>
      <c r="J74" s="29">
        <f t="shared" si="5"/>
        <v>0</v>
      </c>
    </row>
    <row r="75" spans="1:10" x14ac:dyDescent="0.15">
      <c r="A75" s="15" t="s">
        <v>95</v>
      </c>
      <c r="B75" s="18">
        <v>45688</v>
      </c>
      <c r="C75" s="20" t="s">
        <v>14</v>
      </c>
      <c r="D75" s="20" t="s">
        <v>15</v>
      </c>
      <c r="E75" s="20" t="s">
        <v>2</v>
      </c>
      <c r="F75" s="16" t="s">
        <v>4</v>
      </c>
      <c r="G75" s="17" t="s">
        <v>7</v>
      </c>
      <c r="H75" s="21">
        <v>11250</v>
      </c>
      <c r="I75" s="31">
        <f t="shared" si="4"/>
        <v>2812.5</v>
      </c>
      <c r="J75" s="29">
        <f t="shared" si="5"/>
        <v>8437.5</v>
      </c>
    </row>
    <row r="76" spans="1:10" x14ac:dyDescent="0.15">
      <c r="A76" s="15" t="s">
        <v>168</v>
      </c>
      <c r="B76" s="28"/>
      <c r="C76" s="46"/>
      <c r="D76" s="46"/>
      <c r="E76" s="46"/>
      <c r="F76" s="47"/>
      <c r="G76" s="47"/>
      <c r="H76" s="49">
        <f>SUBTOTAL(109,Table1[Amount])</f>
        <v>258012</v>
      </c>
      <c r="I76" s="48">
        <f>SUBTOTAL(109,Table1[Down Payment])</f>
        <v>160467</v>
      </c>
      <c r="J76" s="45">
        <f>SUBTOTAL(109,Table1[Owed])</f>
        <v>97545</v>
      </c>
    </row>
    <row r="77" spans="1:10" x14ac:dyDescent="0.15">
      <c r="C77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2009-06-09T02:14:19Z</outs:dateTime>
      <outs:isPinned>true</outs:isPinned>
    </outs:relatedDate>
    <outs:relatedDate>
      <outs:type>2</outs:type>
      <outs:displayName>Created</outs:displayName>
      <outs:dateTime>2003-03-12T06:26:44Z</outs:dateTime>
      <outs:isPinned>true</outs:isPinned>
    </outs:relatedDate>
    <outs:relatedDate>
      <outs:type>4</outs:type>
      <outs:displayName>Last Printed</outs:displayName>
      <outs:dateTime>2009-06-05T17:45:45Z</outs:dateTime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Exploring Series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Manager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BBCBE8B1-234E-4CA8-878C-C8C9067E6607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January Data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Bri Boucher</cp:lastModifiedBy>
  <cp:lastPrinted>2009-06-05T17:45:45Z</cp:lastPrinted>
  <dcterms:created xsi:type="dcterms:W3CDTF">2003-03-12T06:26:44Z</dcterms:created>
  <dcterms:modified xsi:type="dcterms:W3CDTF">2025-11-18T15:45:00Z</dcterms:modified>
</cp:coreProperties>
</file>
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codeName="ThisWorkbook" defaultThemeVersion="123820"/>
  <mc:AlternateContent xmlns:mc="http://schemas.openxmlformats.org/markup-compatibility/2006">
    <mc:Choice Requires="x15">
      <x15ac:absPath xmlns:x15ac="http://schemas.microsoft.com/office/spreadsheetml/2010/11/ac" url="/Users/ItzzT/Library/Mobile Documents/com~apple~CloudDocs/Homework Assignments/"/>
    </mc:Choice>
  </mc:AlternateContent>
  <xr:revisionPtr revIDLastSave="0" documentId="8_{6D3787A1-46CD-2345-9B3C-F0DB7665F7F6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ales Data" sheetId="1" r:id="rId1"/>
    <sheet name="Filtered Data" sheetId="2" r:id="rId2"/>
  </sheets>
  <definedNames>
    <definedName name="_xlnm._FilterDatabase" localSheetId="0" hidden="1">'Sales Data'!$A$1:$J$94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2" i="2" l="1"/>
  <c r="J91" i="2"/>
  <c r="J90" i="2"/>
  <c r="J89" i="2"/>
  <c r="J88" i="2"/>
  <c r="J87" i="2"/>
  <c r="J86" i="2"/>
  <c r="J85" i="2"/>
  <c r="J84" i="2"/>
  <c r="G56" i="2"/>
  <c r="J83" i="2"/>
  <c r="G84" i="2"/>
  <c r="J82" i="2"/>
  <c r="G31" i="2"/>
  <c r="J81" i="2"/>
  <c r="G81" i="2"/>
  <c r="J80" i="2"/>
  <c r="G83" i="2"/>
  <c r="J79" i="2"/>
  <c r="G52" i="2"/>
  <c r="J78" i="2"/>
  <c r="G82" i="2"/>
  <c r="J77" i="2"/>
  <c r="G80" i="2"/>
  <c r="J76" i="2"/>
  <c r="G79" i="2"/>
  <c r="J75" i="2"/>
  <c r="G78" i="2"/>
  <c r="J74" i="2"/>
  <c r="G29" i="2"/>
  <c r="J73" i="2"/>
  <c r="G26" i="2"/>
  <c r="J72" i="2"/>
  <c r="G77" i="2"/>
  <c r="J71" i="2"/>
  <c r="G22" i="2"/>
  <c r="J70" i="2"/>
  <c r="G76" i="2"/>
  <c r="J69" i="2"/>
  <c r="G75" i="2"/>
  <c r="J68" i="2"/>
  <c r="G18" i="2"/>
  <c r="J67" i="2"/>
  <c r="G17" i="2"/>
  <c r="J66" i="2"/>
  <c r="G74" i="2"/>
  <c r="J65" i="2"/>
  <c r="G65" i="2"/>
  <c r="J64" i="2"/>
  <c r="G14" i="2"/>
  <c r="J63" i="2"/>
  <c r="G63" i="2"/>
  <c r="J62" i="2"/>
  <c r="G12" i="2"/>
  <c r="J61" i="2"/>
  <c r="G73" i="2"/>
  <c r="J60" i="2"/>
  <c r="G72" i="2"/>
  <c r="J59" i="2"/>
  <c r="G71" i="2"/>
  <c r="J58" i="2"/>
  <c r="G58" i="2"/>
  <c r="J57" i="2"/>
  <c r="G51" i="2"/>
  <c r="J56" i="2"/>
  <c r="G70" i="2"/>
  <c r="J55" i="2"/>
  <c r="G55" i="2"/>
  <c r="J54" i="2"/>
  <c r="G54" i="2"/>
  <c r="J53" i="2"/>
  <c r="G53" i="2"/>
  <c r="J52" i="2"/>
  <c r="G50" i="2"/>
  <c r="J51" i="2"/>
  <c r="G69" i="2"/>
  <c r="J50" i="2"/>
  <c r="G49" i="2"/>
  <c r="J49" i="2"/>
  <c r="G11" i="2"/>
  <c r="J48" i="2"/>
  <c r="G68" i="2"/>
  <c r="J47" i="2"/>
  <c r="G47" i="2"/>
  <c r="J46" i="2"/>
  <c r="G48" i="2"/>
  <c r="J45" i="2"/>
  <c r="G45" i="2"/>
  <c r="J44" i="2"/>
  <c r="G67" i="2"/>
  <c r="J43" i="2"/>
  <c r="G43" i="2"/>
  <c r="J42" i="2"/>
  <c r="G42" i="2"/>
  <c r="J41" i="2"/>
  <c r="G46" i="2"/>
  <c r="J40" i="2"/>
  <c r="G40" i="2"/>
  <c r="J39" i="2"/>
  <c r="G44" i="2"/>
  <c r="J38" i="2"/>
  <c r="G38" i="2"/>
  <c r="J37" i="2"/>
  <c r="G66" i="2"/>
  <c r="J36" i="2"/>
  <c r="G10" i="2"/>
  <c r="J35" i="2"/>
  <c r="G35" i="2"/>
  <c r="J34" i="2"/>
  <c r="G34" i="2"/>
  <c r="J33" i="2"/>
  <c r="G33" i="2"/>
  <c r="J32" i="2"/>
  <c r="G32" i="2"/>
  <c r="J31" i="2"/>
  <c r="G9" i="2"/>
  <c r="J30" i="2"/>
  <c r="G30" i="2"/>
  <c r="J29" i="2"/>
  <c r="G8" i="2"/>
  <c r="J28" i="2"/>
  <c r="G28" i="2"/>
  <c r="J27" i="2"/>
  <c r="G27" i="2"/>
  <c r="J26" i="2"/>
  <c r="G64" i="2"/>
  <c r="J25" i="2"/>
  <c r="G25" i="2"/>
  <c r="J24" i="2"/>
  <c r="G24" i="2"/>
  <c r="J23" i="2"/>
  <c r="G23" i="2"/>
  <c r="J22" i="2"/>
  <c r="G7" i="2"/>
  <c r="J21" i="2"/>
  <c r="G21" i="2"/>
  <c r="J20" i="2"/>
  <c r="G20" i="2"/>
  <c r="J19" i="2"/>
  <c r="G19" i="2"/>
  <c r="J18" i="2"/>
  <c r="G41" i="2"/>
  <c r="J17" i="2"/>
  <c r="G62" i="2"/>
  <c r="J16" i="2"/>
  <c r="G16" i="2"/>
  <c r="J15" i="2"/>
  <c r="G15" i="2"/>
  <c r="J14" i="2"/>
  <c r="G39" i="2"/>
  <c r="J13" i="2"/>
  <c r="G13" i="2"/>
  <c r="J12" i="2"/>
  <c r="G37" i="2"/>
  <c r="J11" i="2"/>
  <c r="G36" i="2"/>
  <c r="J10" i="2"/>
  <c r="G6" i="2"/>
  <c r="J9" i="2"/>
  <c r="G61" i="2"/>
  <c r="J8" i="2"/>
  <c r="G60" i="2"/>
  <c r="J7" i="2"/>
  <c r="G59" i="2"/>
  <c r="J6" i="2"/>
  <c r="G57" i="2"/>
  <c r="J5" i="2"/>
  <c r="G5" i="2"/>
  <c r="J4" i="2"/>
  <c r="G4" i="2"/>
  <c r="J3" i="2"/>
  <c r="G3" i="2"/>
  <c r="J94" i="1"/>
  <c r="G94" i="1"/>
  <c r="F9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4" i="1"/>
  <c r="E94" i="1"/>
  <c r="G5" i="1"/>
  <c r="G80" i="1"/>
  <c r="G26" i="1"/>
  <c r="G79" i="1"/>
  <c r="G16" i="1"/>
  <c r="G78" i="1"/>
  <c r="G4" i="1"/>
  <c r="G37" i="1"/>
  <c r="G9" i="1"/>
  <c r="G12" i="1"/>
  <c r="G61" i="1"/>
  <c r="G40" i="1"/>
  <c r="G48" i="1"/>
  <c r="G72" i="1"/>
  <c r="G53" i="1"/>
  <c r="G67" i="1"/>
  <c r="G34" i="1"/>
  <c r="G69" i="1"/>
  <c r="G81" i="1"/>
  <c r="G18" i="1"/>
  <c r="G38" i="1"/>
  <c r="G6" i="1"/>
  <c r="G21" i="1"/>
  <c r="G58" i="1"/>
  <c r="G39" i="1"/>
  <c r="G60" i="1"/>
  <c r="G19" i="1"/>
  <c r="G20" i="1"/>
  <c r="G7" i="1"/>
  <c r="G24" i="1"/>
  <c r="G8" i="1"/>
  <c r="G10" i="1"/>
  <c r="G83" i="1"/>
  <c r="G22" i="1"/>
  <c r="G11" i="1"/>
  <c r="G62" i="1"/>
  <c r="G13" i="1"/>
  <c r="G31" i="1"/>
  <c r="G74" i="1"/>
  <c r="G33" i="1"/>
  <c r="G70" i="1"/>
  <c r="G77" i="1"/>
  <c r="G30" i="1"/>
  <c r="G44" i="1"/>
  <c r="G84" i="1"/>
  <c r="G51" i="1"/>
  <c r="G82" i="1"/>
  <c r="G42" i="1"/>
  <c r="G15" i="1"/>
  <c r="G27" i="1"/>
  <c r="G85" i="1"/>
  <c r="G73" i="1"/>
  <c r="G46" i="1"/>
  <c r="G76" i="1"/>
  <c r="G45" i="1"/>
  <c r="G75" i="1"/>
  <c r="G52" i="1"/>
  <c r="G35" i="1"/>
  <c r="G56" i="1"/>
  <c r="G71" i="1"/>
  <c r="G57" i="1"/>
  <c r="G43" i="1"/>
  <c r="G68" i="1"/>
  <c r="G29" i="1"/>
  <c r="G49" i="1"/>
  <c r="G65" i="1"/>
  <c r="G63" i="1"/>
  <c r="G59" i="1"/>
  <c r="G17" i="1"/>
  <c r="G25" i="1"/>
  <c r="G32" i="1"/>
  <c r="G41" i="1"/>
  <c r="G64" i="1"/>
  <c r="G50" i="1"/>
  <c r="G66" i="1"/>
  <c r="G55" i="1"/>
  <c r="G23" i="1"/>
  <c r="G36" i="1"/>
  <c r="G54" i="1"/>
  <c r="G28" i="1"/>
  <c r="G14" i="1"/>
  <c r="G47" i="1"/>
</calcChain>
</file>

<file path=xl/sharedStrings.xml><?xml version="1.0" encoding="utf-8"?>
<sst xmlns="http://schemas.openxmlformats.org/spreadsheetml/2006/main" count="520" uniqueCount="112">
  <si>
    <t>Pitt Gorilla Realty</t>
  </si>
  <si>
    <t>Number</t>
  </si>
  <si>
    <t>Address</t>
  </si>
  <si>
    <t>City</t>
  </si>
  <si>
    <t>Selling Agent</t>
  </si>
  <si>
    <t>List Price</t>
  </si>
  <si>
    <t>Selling Price</t>
  </si>
  <si>
    <t>Percent of List Price</t>
  </si>
  <si>
    <t>Listing Date</t>
  </si>
  <si>
    <t>Sale Date</t>
  </si>
  <si>
    <t>Days on Market</t>
  </si>
  <si>
    <t>8687 Kenwood Road</t>
  </si>
  <si>
    <t>Cedar Hills</t>
  </si>
  <si>
    <t>Hernandez</t>
  </si>
  <si>
    <t>11 West Oak Circle</t>
  </si>
  <si>
    <t>American Fork</t>
  </si>
  <si>
    <t>Carey</t>
  </si>
  <si>
    <t>314 Timp View Drive</t>
  </si>
  <si>
    <t>Goodrich</t>
  </si>
  <si>
    <t>614 West Cedar Drive</t>
  </si>
  <si>
    <t>Lehi</t>
  </si>
  <si>
    <t>Lugo</t>
  </si>
  <si>
    <t>750 South Apple Way</t>
  </si>
  <si>
    <t>7 Kingston Court</t>
  </si>
  <si>
    <t>Alpine</t>
  </si>
  <si>
    <t>618 West Cedar Drive</t>
  </si>
  <si>
    <t>321 North Choctaw</t>
  </si>
  <si>
    <t>Minkus</t>
  </si>
  <si>
    <t>1370 Pinellas Road</t>
  </si>
  <si>
    <t>1971 Glenview Road</t>
  </si>
  <si>
    <t>15 West Oak Circle</t>
  </si>
  <si>
    <t>575 South Choctaw</t>
  </si>
  <si>
    <t>10995 SW 88 Court</t>
  </si>
  <si>
    <t>143 North Mountain View</t>
  </si>
  <si>
    <t>29 East Oak Circle</t>
  </si>
  <si>
    <t>Merkin</t>
  </si>
  <si>
    <t>8030 Steeplechase Drive</t>
  </si>
  <si>
    <t>2006 Cutwater Court</t>
  </si>
  <si>
    <t>9876 South Sunset Avenue</t>
  </si>
  <si>
    <t>Eagle Mountain</t>
  </si>
  <si>
    <t>321 West Walnut Grove</t>
  </si>
  <si>
    <t>4081 Lybyer Avenue</t>
  </si>
  <si>
    <t>1900 Glenview Road</t>
  </si>
  <si>
    <t>9000 South Sunset Avenue</t>
  </si>
  <si>
    <t>8432 South Sunset Avenue</t>
  </si>
  <si>
    <t>831 South Weber</t>
  </si>
  <si>
    <t>714 Timp View Lane</t>
  </si>
  <si>
    <t>240 East Jefferson Way</t>
  </si>
  <si>
    <t>224 Rockaway Street</t>
  </si>
  <si>
    <t>Pijuan</t>
  </si>
  <si>
    <t>260 East Jefferson Way</t>
  </si>
  <si>
    <t>290 East Jefferson Way</t>
  </si>
  <si>
    <t>8307 S Indian River Drive</t>
  </si>
  <si>
    <t>123 Ivy Lane</t>
  </si>
  <si>
    <t>9408 Forest Hills Circle</t>
  </si>
  <si>
    <t>Reuter</t>
  </si>
  <si>
    <t>245 Ivy Lane</t>
  </si>
  <si>
    <t>11971 SW 269 Terrace</t>
  </si>
  <si>
    <t>1857 Pine Drive</t>
  </si>
  <si>
    <t>3461 East Lindon Way</t>
  </si>
  <si>
    <t>16235 Orange Boulevard</t>
  </si>
  <si>
    <t>614 Lincoln Drive</t>
  </si>
  <si>
    <t>2448 Woodacres Road</t>
  </si>
  <si>
    <t>401 Pinecone Circle</t>
  </si>
  <si>
    <t>421 Ivy Lane</t>
  </si>
  <si>
    <t>765 East Sheridan Lane</t>
  </si>
  <si>
    <t>61 East Walnut Grove</t>
  </si>
  <si>
    <t>1414 N Sheridan Road</t>
  </si>
  <si>
    <t>487 Blue Skies Drive</t>
  </si>
  <si>
    <t>10700 Lake Shore Lane</t>
  </si>
  <si>
    <t>73 East Oak Street</t>
  </si>
  <si>
    <t>81 Island Drive South</t>
  </si>
  <si>
    <t>Bethune</t>
  </si>
  <si>
    <t>3412 Kilmer Street</t>
  </si>
  <si>
    <t>605 Reservoir Drive</t>
  </si>
  <si>
    <t>77 East Oak Street</t>
  </si>
  <si>
    <t>400 Ivy Lane</t>
  </si>
  <si>
    <t>1 Southampton Place</t>
  </si>
  <si>
    <t>3418 North Sunset Lane</t>
  </si>
  <si>
    <t>1892 North 250 West</t>
  </si>
  <si>
    <t>1629 NW 43rd Street</t>
  </si>
  <si>
    <t>3400 North Sunset Lane</t>
  </si>
  <si>
    <t>876 South California Way</t>
  </si>
  <si>
    <t>Hen</t>
  </si>
  <si>
    <t>21 Compass Road</t>
  </si>
  <si>
    <t>34 West Oakley Drive</t>
  </si>
  <si>
    <t>30 Kent Road</t>
  </si>
  <si>
    <t>140 East 3rd Street</t>
  </si>
  <si>
    <t>160 West 5th Street</t>
  </si>
  <si>
    <t>240 West 5th Street</t>
  </si>
  <si>
    <t>520 E Spring Street</t>
  </si>
  <si>
    <t>678 Mountain Circle</t>
  </si>
  <si>
    <t>3490 North Sunset Lane</t>
  </si>
  <si>
    <t>4916 Rock Spring Road</t>
  </si>
  <si>
    <t>8923 Harris Drive</t>
  </si>
  <si>
    <t>876 West Hadley Way</t>
  </si>
  <si>
    <t>1132 SW 52nd Street</t>
  </si>
  <si>
    <t>416 East Oak</t>
  </si>
  <si>
    <t>10 Vestal Drive</t>
  </si>
  <si>
    <t>425 East Oak</t>
  </si>
  <si>
    <t>876 West Holiday</t>
  </si>
  <si>
    <t>103 Jasper Drive</t>
  </si>
  <si>
    <t>516 East Oak</t>
  </si>
  <si>
    <t>123 Oak Avenue</t>
  </si>
  <si>
    <t>600 Ivy Lane</t>
  </si>
  <si>
    <t>144 Oak Avenue</t>
  </si>
  <si>
    <t>1600 Reeves Street</t>
  </si>
  <si>
    <t>213 Jasper Drive</t>
  </si>
  <si>
    <t>6/30/2024</t>
  </si>
  <si>
    <t>8/15/2024</t>
  </si>
  <si>
    <t>Total/Average</t>
  </si>
  <si>
    <t>Brianna Boucher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</si>
</sst>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73" formatCode="0.0"/>
    <numFmt numFmtId="176" formatCode="0.0%"/>
  </numFmts>
  <fonts count="7" x14ac:knownFonts="1">
    <font>
      <sz val="10"/>
      <name val="Arial"/>
    </font>
    <font>
      <sz val="10"/>
      <color indexed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/>
    <xf numFmtId="9" fontId="5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0" fillId="0" borderId="0" xfId="0" applyAlignment="1">
      <alignment horizontal="right" indent="2"/>
    </xf>
    <xf numFmtId="164" fontId="1" fillId="0" borderId="0" xfId="1" applyNumberFormat="1" applyFont="1"/>
    <xf numFmtId="14" fontId="1" fillId="0" borderId="0" xfId="0" applyNumberFormat="1" applyFont="1"/>
    <xf numFmtId="14" fontId="0" fillId="0" borderId="0" xfId="0" applyNumberFormat="1"/>
    <xf numFmtId="0" fontId="2" fillId="0" borderId="0" xfId="0" applyFont="1"/>
    <xf numFmtId="0" fontId="4" fillId="2" borderId="0" xfId="0" applyFont="1" applyFill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/>
    <xf numFmtId="0" fontId="6" fillId="0" borderId="0" xfId="0" applyFont="1"/>
    <xf numFmtId="0" fontId="0" fillId="0" borderId="0" xfId="0" applyAlignment="1">
      <alignment horizontal="center" vertical="center"/>
    </xf>
    <xf numFmtId="164" fontId="2" fillId="0" borderId="0" xfId="1" applyNumberFormat="1"/>
    <xf numFmtId="164" fontId="0" fillId="0" borderId="0" xfId="0" applyNumberFormat="1"/>
    <xf numFmtId="173" fontId="0" fillId="0" borderId="0" xfId="0" applyNumberFormat="1"/>
    <xf numFmtId="176" fontId="0" fillId="0" borderId="0" xfId="2" applyNumberFormat="1" applyFont="1"/>
    <xf numFmtId="0" fontId="0" fillId="0" borderId="0" xfId="0" applyAlignment="1">
      <alignment horizontal="left" indent="3"/>
    </xf>
    <xf numFmtId="0" fontId="0" fillId="0" borderId="0" xfId="2" applyNumberFormat="1" applyFont="1"/>
    <xf numFmtId="0" fontId="4" fillId="3" borderId="0" xfId="0" applyFont="1" applyFill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9" formatCode="m/d/yy"/>
    </dxf>
    <dxf>
      <numFmt numFmtId="176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alignment horizontal="right" vertical="bottom" textRotation="0" wrapText="0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numFmt numFmtId="176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9" formatCode="m/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4" formatCode="_(&quot;$&quot;* #,##0_);_(&quot;$&quot;* \(#,##0\);_(&quot;$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alignment horizontal="right" vertical="bottom" textRotation="0" wrapText="0" indent="2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C491F1-EC4E-EA49-867D-F9F1A793DC87}" name="Table1" displayName="Table1" ref="A3:H85" totalsRowShown="0" headerRowDxfId="12">
  <autoFilter ref="A3:H85" xr:uid="{18C491F1-EC4E-EA49-867D-F9F1A793DC87}"/>
  <sortState xmlns:xlrd2="http://schemas.microsoft.com/office/spreadsheetml/2017/richdata2" ref="A4:H85">
    <sortCondition ref="D3:D85"/>
  </sortState>
  <tableColumns count="8">
    <tableColumn id="1" xr3:uid="{3DD7B3E9-6051-6645-AB68-00F83E09F64F}" name="Number" dataDxfId="17"/>
    <tableColumn id="2" xr3:uid="{4B6795D7-536A-8546-A3E7-9752495744E3}" name="Address" dataDxfId="16"/>
    <tableColumn id="3" xr3:uid="{7AF5B210-0339-9645-BAD3-1C9BE4A4776D}" name="City" dataDxfId="15"/>
    <tableColumn id="4" xr3:uid="{212CF7CA-CDA3-8248-A038-3EB2C5A0A542}" name="Selling Agent" dataDxfId="14"/>
    <tableColumn id="5" xr3:uid="{948E1498-9525-3F4A-94F3-D7E5CBA6DE10}" name="List Price" dataDxfId="13" dataCellStyle="Currency"/>
    <tableColumn id="6" xr3:uid="{FE365C77-D665-F743-A5F2-100471BDECC4}" name="Selling Price" dataDxfId="11" dataCellStyle="Currency"/>
    <tableColumn id="7" xr3:uid="{C913FE94-5D8E-D540-97B8-706FB8BCDD73}" name="Percent of List Price" dataDxfId="9" dataCellStyle="Percent">
      <calculatedColumnFormula>F4/E4</calculatedColumnFormula>
    </tableColumn>
    <tableColumn id="8" xr3:uid="{E86B7000-76ED-3049-A706-5AF4D8F391FA}" name="Listing Date" dataDxfId="10"/>
  </tableColumns>
  <tableStyleInfo name="TableStyleMedium2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0B7A11-D34C-5442-9317-51E60C9E90D3}" name="Table13" displayName="Table13" ref="A2:H84" totalsRowShown="0" headerRowDxfId="8">
  <autoFilter ref="A2:H84" xr:uid="{A10B7A11-D34C-5442-9317-51E60C9E90D3}">
    <filterColumn colId="2">
      <filters>
        <filter val="Alpine"/>
        <filter val="Cedar Hills"/>
        <filter val="Eagle Mountain"/>
      </filters>
    </filterColumn>
  </autoFilter>
  <sortState xmlns:xlrd2="http://schemas.microsoft.com/office/spreadsheetml/2017/richdata2" ref="A6:H84">
    <sortCondition ref="C2:C84"/>
  </sortState>
  <tableColumns count="8">
    <tableColumn id="1" xr3:uid="{ED259347-BADB-E640-AD6A-3A16474DA092}" name="Number" dataDxfId="7"/>
    <tableColumn id="2" xr3:uid="{3DA82517-DD76-F848-AF6F-E5BACC659620}" name="Address" dataDxfId="6"/>
    <tableColumn id="3" xr3:uid="{011E41F9-0C82-5042-9074-E4396470B5B3}" name="City" dataDxfId="5"/>
    <tableColumn id="4" xr3:uid="{11A79609-71A9-4F48-AC49-E73F785CA951}" name="Selling Agent" dataDxfId="4"/>
    <tableColumn id="5" xr3:uid="{6FDEAA57-5ED4-8F43-8D39-5F9526E07511}" name="List Price" dataDxfId="3" dataCellStyle="Currency"/>
    <tableColumn id="6" xr3:uid="{98F8D461-1AB8-9C4C-B4CD-AC35DD8E5101}" name="Selling Price" dataDxfId="2" dataCellStyle="Currency"/>
    <tableColumn id="7" xr3:uid="{B275F3E4-E3A8-DB4B-B00B-11A2A5F84137}" name="Percent of List Price" dataDxfId="1" dataCellStyle="Percent">
      <calculatedColumnFormula>F3/E3</calculatedColumnFormula>
    </tableColumn>
    <tableColumn id="8" xr3:uid="{2063EF7A-8C64-064A-BB58-5FF01A1CDE52}" name="Listing Date" dataDxfId="0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4"/>
  <sheetViews>
    <sheetView tabSelected="1" workbookViewId="0">
      <selection activeCell="F109" sqref="F109"/>
    </sheetView>
  </sheetViews>
  <sheetFormatPr baseColWidth="10" defaultColWidth="8.83203125" defaultRowHeight="13" x14ac:dyDescent="0.15"/>
  <cols>
    <col min="1" max="1" width="12.1640625" customWidth="1"/>
    <col min="2" max="2" width="23.6640625" customWidth="1"/>
    <col min="3" max="3" width="15.33203125" customWidth="1"/>
    <col min="4" max="4" width="15.83203125" customWidth="1"/>
    <col min="5" max="6" width="14" bestFit="1" customWidth="1"/>
    <col min="7" max="7" width="20.1640625" customWidth="1"/>
    <col min="8" max="8" width="13.1640625" customWidth="1"/>
    <col min="10" max="10" width="9.6640625" bestFit="1" customWidth="1"/>
  </cols>
  <sheetData>
    <row r="1" spans="1:11" s="6" customFormat="1" ht="23" customHeight="1" x14ac:dyDescent="0.2">
      <c r="A1" s="11" t="s">
        <v>0</v>
      </c>
      <c r="B1" s="12"/>
      <c r="C1" s="12"/>
      <c r="D1" s="12"/>
      <c r="E1" s="12"/>
      <c r="F1" s="12"/>
      <c r="G1" s="13"/>
      <c r="H1" s="12"/>
      <c r="I1" s="12"/>
      <c r="J1" s="12"/>
      <c r="K1" s="7"/>
    </row>
    <row r="2" spans="1:11" x14ac:dyDescent="0.15">
      <c r="A2" s="8" t="s">
        <v>111</v>
      </c>
      <c r="B2" s="8"/>
      <c r="C2" s="8"/>
      <c r="D2" s="8"/>
      <c r="E2" s="8"/>
      <c r="F2" s="8"/>
      <c r="H2" s="8"/>
      <c r="I2" s="8"/>
      <c r="J2" s="8"/>
      <c r="K2" s="8"/>
    </row>
    <row r="3" spans="1:11" x14ac:dyDescent="0.15">
      <c r="A3" s="9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t="s">
        <v>7</v>
      </c>
      <c r="H3" s="10" t="s">
        <v>8</v>
      </c>
      <c r="I3" s="10" t="s">
        <v>9</v>
      </c>
      <c r="J3" s="8" t="s">
        <v>10</v>
      </c>
      <c r="K3" s="8"/>
    </row>
    <row r="4" spans="1:11" x14ac:dyDescent="0.15">
      <c r="A4" s="2">
        <v>76</v>
      </c>
      <c r="B4" s="1" t="s">
        <v>101</v>
      </c>
      <c r="C4" s="1" t="s">
        <v>20</v>
      </c>
      <c r="D4" s="1" t="s">
        <v>72</v>
      </c>
      <c r="E4" s="3">
        <v>165900</v>
      </c>
      <c r="F4" s="3">
        <v>159264</v>
      </c>
      <c r="G4" s="18">
        <f>F4/E4</f>
        <v>0.96</v>
      </c>
      <c r="H4" s="4">
        <v>45472</v>
      </c>
      <c r="I4" s="4">
        <v>45459</v>
      </c>
      <c r="J4" s="20">
        <f>I4-H4</f>
        <v>-13</v>
      </c>
    </row>
    <row r="5" spans="1:11" x14ac:dyDescent="0.15">
      <c r="A5" s="14">
        <v>82</v>
      </c>
      <c r="B5" t="s">
        <v>107</v>
      </c>
      <c r="C5" t="s">
        <v>20</v>
      </c>
      <c r="D5" t="s">
        <v>72</v>
      </c>
      <c r="E5" s="15">
        <v>175500</v>
      </c>
      <c r="F5" s="15">
        <v>171900</v>
      </c>
      <c r="G5" s="18">
        <f>F5/E5</f>
        <v>0.97948717948717945</v>
      </c>
      <c r="H5" s="19" t="s">
        <v>108</v>
      </c>
      <c r="I5" s="4">
        <v>45427</v>
      </c>
      <c r="J5" s="20">
        <f t="shared" ref="J5:J68" si="0">I5-H5</f>
        <v>-46</v>
      </c>
    </row>
    <row r="6" spans="1:11" x14ac:dyDescent="0.15">
      <c r="A6" s="2">
        <v>61</v>
      </c>
      <c r="B6" s="1" t="s">
        <v>86</v>
      </c>
      <c r="C6" s="1" t="s">
        <v>20</v>
      </c>
      <c r="D6" s="1" t="s">
        <v>72</v>
      </c>
      <c r="E6" s="3">
        <v>259900</v>
      </c>
      <c r="F6" s="3">
        <v>246905</v>
      </c>
      <c r="G6" s="18">
        <f>F6/E6</f>
        <v>0.95</v>
      </c>
      <c r="H6" s="4">
        <v>45445</v>
      </c>
      <c r="I6" s="4">
        <v>45444</v>
      </c>
      <c r="J6" s="20">
        <f t="shared" si="0"/>
        <v>-1</v>
      </c>
    </row>
    <row r="7" spans="1:11" x14ac:dyDescent="0.15">
      <c r="A7" s="2">
        <v>54</v>
      </c>
      <c r="B7" s="1" t="s">
        <v>78</v>
      </c>
      <c r="C7" s="1" t="s">
        <v>39</v>
      </c>
      <c r="D7" s="1" t="s">
        <v>72</v>
      </c>
      <c r="E7" s="3">
        <v>450000</v>
      </c>
      <c r="F7" s="3">
        <v>400000</v>
      </c>
      <c r="G7" s="18">
        <f>F7/E7</f>
        <v>0.88888888888888884</v>
      </c>
      <c r="H7" s="4">
        <v>45440</v>
      </c>
      <c r="I7" s="4">
        <v>45437</v>
      </c>
      <c r="J7" s="20">
        <f t="shared" si="0"/>
        <v>-3</v>
      </c>
    </row>
    <row r="8" spans="1:11" x14ac:dyDescent="0.15">
      <c r="A8" s="2">
        <v>52</v>
      </c>
      <c r="B8" s="1" t="s">
        <v>76</v>
      </c>
      <c r="C8" s="1" t="s">
        <v>39</v>
      </c>
      <c r="D8" s="1" t="s">
        <v>72</v>
      </c>
      <c r="E8" s="3">
        <v>375000</v>
      </c>
      <c r="F8" s="3">
        <v>330000</v>
      </c>
      <c r="G8" s="18">
        <f>F8/E8</f>
        <v>0.88</v>
      </c>
      <c r="H8" s="4">
        <v>45438</v>
      </c>
      <c r="I8" s="4">
        <v>45412</v>
      </c>
      <c r="J8" s="20">
        <f t="shared" si="0"/>
        <v>-26</v>
      </c>
    </row>
    <row r="9" spans="1:11" x14ac:dyDescent="0.15">
      <c r="A9" s="2">
        <v>74</v>
      </c>
      <c r="B9" s="1" t="s">
        <v>99</v>
      </c>
      <c r="C9" s="1" t="s">
        <v>39</v>
      </c>
      <c r="D9" s="1" t="s">
        <v>72</v>
      </c>
      <c r="E9" s="3">
        <v>275900</v>
      </c>
      <c r="F9" s="3">
        <v>250000</v>
      </c>
      <c r="G9" s="18">
        <f>F9/E9</f>
        <v>0.90612540775643347</v>
      </c>
      <c r="H9" s="4">
        <v>45467</v>
      </c>
      <c r="I9" s="4">
        <v>45453</v>
      </c>
      <c r="J9" s="20">
        <f t="shared" si="0"/>
        <v>-14</v>
      </c>
    </row>
    <row r="10" spans="1:11" x14ac:dyDescent="0.15">
      <c r="A10" s="2">
        <v>51</v>
      </c>
      <c r="B10" s="1" t="s">
        <v>75</v>
      </c>
      <c r="C10" s="1" t="s">
        <v>39</v>
      </c>
      <c r="D10" s="1" t="s">
        <v>72</v>
      </c>
      <c r="E10" s="3">
        <v>345000</v>
      </c>
      <c r="F10" s="3">
        <v>335000</v>
      </c>
      <c r="G10" s="18">
        <f>F10/E10</f>
        <v>0.97101449275362317</v>
      </c>
      <c r="H10" s="4">
        <v>45435</v>
      </c>
      <c r="I10" s="4">
        <v>45444</v>
      </c>
      <c r="J10" s="20">
        <f t="shared" si="0"/>
        <v>9</v>
      </c>
    </row>
    <row r="11" spans="1:11" x14ac:dyDescent="0.15">
      <c r="A11" s="2">
        <v>48</v>
      </c>
      <c r="B11" s="1" t="s">
        <v>71</v>
      </c>
      <c r="C11" s="1" t="s">
        <v>24</v>
      </c>
      <c r="D11" s="1" t="s">
        <v>72</v>
      </c>
      <c r="E11" s="3">
        <v>147800</v>
      </c>
      <c r="F11" s="3">
        <v>150000</v>
      </c>
      <c r="G11" s="18">
        <f>F11/E11</f>
        <v>1.0148849797023005</v>
      </c>
      <c r="H11" s="4">
        <v>45434</v>
      </c>
      <c r="I11" s="4">
        <v>45565</v>
      </c>
      <c r="J11" s="20">
        <f t="shared" si="0"/>
        <v>131</v>
      </c>
    </row>
    <row r="12" spans="1:11" x14ac:dyDescent="0.15">
      <c r="A12" s="2">
        <v>73</v>
      </c>
      <c r="B12" s="1" t="s">
        <v>98</v>
      </c>
      <c r="C12" s="1" t="s">
        <v>12</v>
      </c>
      <c r="D12" s="1" t="s">
        <v>16</v>
      </c>
      <c r="E12" s="3">
        <v>555000</v>
      </c>
      <c r="F12" s="3">
        <v>565000</v>
      </c>
      <c r="G12" s="18">
        <f>F12/E12</f>
        <v>1.0180180180180181</v>
      </c>
      <c r="H12" s="4">
        <v>45467</v>
      </c>
      <c r="I12" s="4">
        <v>45445</v>
      </c>
      <c r="J12" s="20">
        <f t="shared" si="0"/>
        <v>-22</v>
      </c>
    </row>
    <row r="13" spans="1:11" x14ac:dyDescent="0.15">
      <c r="A13" s="2">
        <v>46</v>
      </c>
      <c r="B13" s="1" t="s">
        <v>69</v>
      </c>
      <c r="C13" s="1" t="s">
        <v>12</v>
      </c>
      <c r="D13" s="1" t="s">
        <v>16</v>
      </c>
      <c r="E13" s="3">
        <v>650000</v>
      </c>
      <c r="F13" s="3">
        <v>598000</v>
      </c>
      <c r="G13" s="18">
        <f>F13/E13</f>
        <v>0.92</v>
      </c>
      <c r="H13" s="4">
        <v>45427</v>
      </c>
      <c r="I13" s="4">
        <v>45455</v>
      </c>
      <c r="J13" s="20">
        <f t="shared" si="0"/>
        <v>28</v>
      </c>
    </row>
    <row r="14" spans="1:11" x14ac:dyDescent="0.15">
      <c r="A14" s="2">
        <v>2</v>
      </c>
      <c r="B14" s="1" t="s">
        <v>14</v>
      </c>
      <c r="C14" s="1" t="s">
        <v>15</v>
      </c>
      <c r="D14" s="1" t="s">
        <v>16</v>
      </c>
      <c r="E14" s="3">
        <v>350000</v>
      </c>
      <c r="F14" s="3">
        <v>340000</v>
      </c>
      <c r="G14" s="18">
        <f>F14/E14</f>
        <v>0.97142857142857142</v>
      </c>
      <c r="H14" s="5">
        <v>45383</v>
      </c>
      <c r="I14" s="4">
        <v>45455</v>
      </c>
      <c r="J14" s="20">
        <f t="shared" si="0"/>
        <v>72</v>
      </c>
    </row>
    <row r="15" spans="1:11" x14ac:dyDescent="0.15">
      <c r="A15" s="2">
        <v>34</v>
      </c>
      <c r="B15" s="1" t="s">
        <v>57</v>
      </c>
      <c r="C15" s="1" t="s">
        <v>12</v>
      </c>
      <c r="D15" s="1" t="s">
        <v>16</v>
      </c>
      <c r="E15" s="3">
        <v>410000</v>
      </c>
      <c r="F15" s="3">
        <v>397700</v>
      </c>
      <c r="G15" s="18">
        <f>F15/E15</f>
        <v>0.97</v>
      </c>
      <c r="H15" s="4">
        <v>45413</v>
      </c>
      <c r="I15" s="4">
        <v>45442</v>
      </c>
      <c r="J15" s="20">
        <f t="shared" si="0"/>
        <v>29</v>
      </c>
    </row>
    <row r="16" spans="1:11" x14ac:dyDescent="0.15">
      <c r="A16" s="2">
        <v>78</v>
      </c>
      <c r="B16" s="1" t="s">
        <v>103</v>
      </c>
      <c r="C16" s="1" t="s">
        <v>15</v>
      </c>
      <c r="D16" s="1" t="s">
        <v>16</v>
      </c>
      <c r="E16" s="3">
        <v>400000</v>
      </c>
      <c r="F16" s="3">
        <v>400000</v>
      </c>
      <c r="G16" s="18">
        <f>F16/E16</f>
        <v>1</v>
      </c>
      <c r="H16" s="4">
        <v>45473</v>
      </c>
      <c r="I16" s="4">
        <v>45597</v>
      </c>
      <c r="J16" s="20">
        <f t="shared" si="0"/>
        <v>124</v>
      </c>
    </row>
    <row r="17" spans="1:10" x14ac:dyDescent="0.15">
      <c r="A17" s="2">
        <v>14</v>
      </c>
      <c r="B17" s="1" t="s">
        <v>33</v>
      </c>
      <c r="C17" s="1" t="s">
        <v>15</v>
      </c>
      <c r="D17" s="1" t="s">
        <v>16</v>
      </c>
      <c r="E17" s="3">
        <v>314250</v>
      </c>
      <c r="F17" s="3">
        <v>304000</v>
      </c>
      <c r="G17" s="18">
        <f>F17/E17</f>
        <v>0.96738265712012728</v>
      </c>
      <c r="H17" s="4">
        <v>45395</v>
      </c>
      <c r="I17" s="4">
        <v>45476</v>
      </c>
      <c r="J17" s="20">
        <f t="shared" si="0"/>
        <v>81</v>
      </c>
    </row>
    <row r="18" spans="1:10" x14ac:dyDescent="0.15">
      <c r="A18" s="2">
        <v>63</v>
      </c>
      <c r="B18" s="1" t="s">
        <v>88</v>
      </c>
      <c r="C18" s="1" t="s">
        <v>39</v>
      </c>
      <c r="D18" s="1" t="s">
        <v>16</v>
      </c>
      <c r="E18" s="3">
        <v>410000</v>
      </c>
      <c r="F18" s="3">
        <v>350750</v>
      </c>
      <c r="G18" s="18">
        <f>F18/E18</f>
        <v>0.85548780487804876</v>
      </c>
      <c r="H18" s="4">
        <v>45446</v>
      </c>
      <c r="I18" s="4">
        <v>45509</v>
      </c>
      <c r="J18" s="20">
        <f t="shared" si="0"/>
        <v>63</v>
      </c>
    </row>
    <row r="19" spans="1:10" x14ac:dyDescent="0.15">
      <c r="A19" s="2">
        <v>56</v>
      </c>
      <c r="B19" s="1" t="s">
        <v>80</v>
      </c>
      <c r="C19" s="1" t="s">
        <v>12</v>
      </c>
      <c r="D19" s="1" t="s">
        <v>16</v>
      </c>
      <c r="E19" s="3">
        <v>475000</v>
      </c>
      <c r="F19" s="3">
        <v>450000</v>
      </c>
      <c r="G19" s="18">
        <f>F19/E19</f>
        <v>0.94736842105263153</v>
      </c>
      <c r="H19" s="4">
        <v>45443</v>
      </c>
      <c r="I19" s="4">
        <v>45580</v>
      </c>
      <c r="J19" s="20">
        <f t="shared" si="0"/>
        <v>137</v>
      </c>
    </row>
    <row r="20" spans="1:10" x14ac:dyDescent="0.15">
      <c r="A20" s="2">
        <v>55</v>
      </c>
      <c r="B20" s="1" t="s">
        <v>79</v>
      </c>
      <c r="C20" s="1" t="s">
        <v>15</v>
      </c>
      <c r="D20" s="1" t="s">
        <v>16</v>
      </c>
      <c r="E20" s="3">
        <v>315250</v>
      </c>
      <c r="F20" s="3">
        <v>300000</v>
      </c>
      <c r="G20" s="18">
        <f>F20/E20</f>
        <v>0.95162569389373508</v>
      </c>
      <c r="H20" s="4">
        <v>45440</v>
      </c>
      <c r="I20" s="4">
        <v>45473</v>
      </c>
      <c r="J20" s="20">
        <f t="shared" si="0"/>
        <v>33</v>
      </c>
    </row>
    <row r="21" spans="1:10" x14ac:dyDescent="0.15">
      <c r="A21" s="2">
        <v>60</v>
      </c>
      <c r="B21" s="1" t="s">
        <v>85</v>
      </c>
      <c r="C21" s="1" t="s">
        <v>15</v>
      </c>
      <c r="D21" s="1" t="s">
        <v>16</v>
      </c>
      <c r="E21" s="3">
        <v>345000</v>
      </c>
      <c r="F21" s="3">
        <v>330000</v>
      </c>
      <c r="G21" s="18">
        <f>F21/E21</f>
        <v>0.95652173913043481</v>
      </c>
      <c r="H21" s="4">
        <v>45444</v>
      </c>
      <c r="I21" s="4">
        <v>45466</v>
      </c>
      <c r="J21" s="20">
        <f t="shared" si="0"/>
        <v>22</v>
      </c>
    </row>
    <row r="22" spans="1:10" x14ac:dyDescent="0.15">
      <c r="A22" s="2">
        <v>49</v>
      </c>
      <c r="B22" s="1" t="s">
        <v>73</v>
      </c>
      <c r="C22" s="1" t="s">
        <v>20</v>
      </c>
      <c r="D22" s="1" t="s">
        <v>16</v>
      </c>
      <c r="E22" s="3">
        <v>180000</v>
      </c>
      <c r="F22" s="3">
        <v>175000</v>
      </c>
      <c r="G22" s="18">
        <f>F22/E22</f>
        <v>0.97222222222222221</v>
      </c>
      <c r="H22" s="4">
        <v>45435</v>
      </c>
      <c r="I22" s="4">
        <v>45412</v>
      </c>
      <c r="J22" s="20">
        <f t="shared" si="0"/>
        <v>-23</v>
      </c>
    </row>
    <row r="23" spans="1:10" x14ac:dyDescent="0.15">
      <c r="A23" s="2">
        <v>6</v>
      </c>
      <c r="B23" s="1" t="s">
        <v>23</v>
      </c>
      <c r="C23" s="1" t="s">
        <v>24</v>
      </c>
      <c r="D23" s="1" t="s">
        <v>16</v>
      </c>
      <c r="E23" s="3">
        <v>500000</v>
      </c>
      <c r="F23" s="3">
        <v>465000</v>
      </c>
      <c r="G23" s="18">
        <f>F23/E23</f>
        <v>0.93</v>
      </c>
      <c r="H23" s="4">
        <v>45385</v>
      </c>
      <c r="I23" s="4">
        <v>45473</v>
      </c>
      <c r="J23" s="20">
        <f t="shared" si="0"/>
        <v>88</v>
      </c>
    </row>
    <row r="24" spans="1:10" x14ac:dyDescent="0.15">
      <c r="A24" s="2">
        <v>53</v>
      </c>
      <c r="B24" s="1" t="s">
        <v>77</v>
      </c>
      <c r="C24" s="1" t="s">
        <v>20</v>
      </c>
      <c r="D24" s="1" t="s">
        <v>18</v>
      </c>
      <c r="E24" s="3">
        <v>215000</v>
      </c>
      <c r="F24" s="3">
        <v>195000</v>
      </c>
      <c r="G24" s="18">
        <f>F24/E24</f>
        <v>0.90697674418604646</v>
      </c>
      <c r="H24" s="4">
        <v>45440</v>
      </c>
      <c r="I24" s="4">
        <v>45475</v>
      </c>
      <c r="J24" s="20">
        <f t="shared" si="0"/>
        <v>35</v>
      </c>
    </row>
    <row r="25" spans="1:10" x14ac:dyDescent="0.15">
      <c r="A25" s="2">
        <v>13</v>
      </c>
      <c r="B25" s="1" t="s">
        <v>32</v>
      </c>
      <c r="C25" s="1" t="s">
        <v>20</v>
      </c>
      <c r="D25" s="1" t="s">
        <v>18</v>
      </c>
      <c r="E25" s="3">
        <v>110000</v>
      </c>
      <c r="F25" s="3">
        <v>106000</v>
      </c>
      <c r="G25" s="18">
        <f>F25/E25</f>
        <v>0.96363636363636362</v>
      </c>
      <c r="H25" s="4">
        <v>45394</v>
      </c>
      <c r="I25" s="4">
        <v>45475</v>
      </c>
      <c r="J25" s="20">
        <f t="shared" si="0"/>
        <v>81</v>
      </c>
    </row>
    <row r="26" spans="1:10" x14ac:dyDescent="0.15">
      <c r="A26" s="2">
        <v>80</v>
      </c>
      <c r="B26" s="1" t="s">
        <v>105</v>
      </c>
      <c r="C26" s="1" t="s">
        <v>15</v>
      </c>
      <c r="D26" s="1" t="s">
        <v>18</v>
      </c>
      <c r="E26" s="3">
        <v>380500</v>
      </c>
      <c r="F26" s="3">
        <v>365000</v>
      </c>
      <c r="G26" s="18">
        <f>F26/E26</f>
        <v>0.95926412614980294</v>
      </c>
      <c r="H26" s="4">
        <v>45473</v>
      </c>
      <c r="I26" s="4">
        <v>45444</v>
      </c>
      <c r="J26" s="20">
        <f t="shared" si="0"/>
        <v>-29</v>
      </c>
    </row>
    <row r="27" spans="1:10" x14ac:dyDescent="0.15">
      <c r="A27" s="2">
        <v>33</v>
      </c>
      <c r="B27" s="1" t="s">
        <v>56</v>
      </c>
      <c r="C27" s="1" t="s">
        <v>39</v>
      </c>
      <c r="D27" s="1" t="s">
        <v>18</v>
      </c>
      <c r="E27" s="3">
        <v>395000</v>
      </c>
      <c r="F27" s="3">
        <v>375000</v>
      </c>
      <c r="G27" s="18">
        <f>F27/E27</f>
        <v>0.94936708860759489</v>
      </c>
      <c r="H27" s="4">
        <v>45413</v>
      </c>
      <c r="I27" s="4">
        <v>45440</v>
      </c>
      <c r="J27" s="20">
        <f t="shared" si="0"/>
        <v>27</v>
      </c>
    </row>
    <row r="28" spans="1:10" x14ac:dyDescent="0.15">
      <c r="A28" s="2">
        <v>3</v>
      </c>
      <c r="B28" s="1" t="s">
        <v>17</v>
      </c>
      <c r="C28" s="1" t="s">
        <v>15</v>
      </c>
      <c r="D28" s="1" t="s">
        <v>18</v>
      </c>
      <c r="E28" s="3">
        <v>418000</v>
      </c>
      <c r="F28" s="3">
        <v>400000</v>
      </c>
      <c r="G28" s="18">
        <f>F28/E28</f>
        <v>0.9569377990430622</v>
      </c>
      <c r="H28" s="5">
        <v>45383</v>
      </c>
      <c r="I28" s="4">
        <v>45446</v>
      </c>
      <c r="J28" s="20">
        <f t="shared" si="0"/>
        <v>63</v>
      </c>
    </row>
    <row r="29" spans="1:10" x14ac:dyDescent="0.15">
      <c r="A29" s="2">
        <v>19</v>
      </c>
      <c r="B29" s="1" t="s">
        <v>40</v>
      </c>
      <c r="C29" s="1" t="s">
        <v>15</v>
      </c>
      <c r="D29" s="1" t="s">
        <v>18</v>
      </c>
      <c r="E29" s="3">
        <v>425000</v>
      </c>
      <c r="F29" s="3">
        <v>415000</v>
      </c>
      <c r="G29" s="18">
        <f>F29/E29</f>
        <v>0.97647058823529409</v>
      </c>
      <c r="H29" s="4">
        <v>45400</v>
      </c>
      <c r="I29" s="4">
        <v>45550</v>
      </c>
      <c r="J29" s="20">
        <f t="shared" si="0"/>
        <v>150</v>
      </c>
    </row>
    <row r="30" spans="1:10" x14ac:dyDescent="0.15">
      <c r="A30" s="2">
        <v>40</v>
      </c>
      <c r="B30" s="1" t="s">
        <v>63</v>
      </c>
      <c r="C30" s="1" t="s">
        <v>24</v>
      </c>
      <c r="D30" s="1" t="s">
        <v>18</v>
      </c>
      <c r="E30" s="3">
        <v>1500120</v>
      </c>
      <c r="F30" s="3">
        <v>1400000</v>
      </c>
      <c r="G30" s="18">
        <f>F30/E30</f>
        <v>0.93325867263952222</v>
      </c>
      <c r="H30" s="4">
        <v>45417</v>
      </c>
      <c r="I30" s="4">
        <v>45536</v>
      </c>
      <c r="J30" s="20">
        <f t="shared" si="0"/>
        <v>119</v>
      </c>
    </row>
    <row r="31" spans="1:10" x14ac:dyDescent="0.15">
      <c r="A31" s="2">
        <v>45</v>
      </c>
      <c r="B31" s="1" t="s">
        <v>68</v>
      </c>
      <c r="C31" s="1" t="s">
        <v>15</v>
      </c>
      <c r="D31" s="1" t="s">
        <v>18</v>
      </c>
      <c r="E31" s="3">
        <v>365750</v>
      </c>
      <c r="F31" s="3">
        <v>355000</v>
      </c>
      <c r="G31" s="18">
        <f>F31/E31</f>
        <v>0.9706083390293917</v>
      </c>
      <c r="H31" s="4">
        <v>45425</v>
      </c>
      <c r="I31" s="4">
        <v>45529</v>
      </c>
      <c r="J31" s="20">
        <f t="shared" si="0"/>
        <v>104</v>
      </c>
    </row>
    <row r="32" spans="1:10" x14ac:dyDescent="0.15">
      <c r="A32" s="2">
        <v>12</v>
      </c>
      <c r="B32" s="1" t="s">
        <v>31</v>
      </c>
      <c r="C32" s="1" t="s">
        <v>24</v>
      </c>
      <c r="D32" s="1" t="s">
        <v>18</v>
      </c>
      <c r="E32" s="3">
        <v>750250</v>
      </c>
      <c r="F32" s="3">
        <v>700000</v>
      </c>
      <c r="G32" s="18">
        <f>F32/E32</f>
        <v>0.93302232589136957</v>
      </c>
      <c r="H32" s="4">
        <v>45394</v>
      </c>
      <c r="I32" s="4">
        <v>45462</v>
      </c>
      <c r="J32" s="20">
        <f t="shared" si="0"/>
        <v>68</v>
      </c>
    </row>
    <row r="33" spans="1:10" x14ac:dyDescent="0.15">
      <c r="A33" s="2">
        <v>43</v>
      </c>
      <c r="B33" s="1" t="s">
        <v>66</v>
      </c>
      <c r="C33" s="1" t="s">
        <v>15</v>
      </c>
      <c r="D33" s="1" t="s">
        <v>18</v>
      </c>
      <c r="E33" s="3">
        <v>375000</v>
      </c>
      <c r="F33" s="3">
        <v>376000</v>
      </c>
      <c r="G33" s="18">
        <f>F33/E33</f>
        <v>1.0026666666666666</v>
      </c>
      <c r="H33" s="4">
        <v>45418</v>
      </c>
      <c r="I33" s="4">
        <v>45566</v>
      </c>
      <c r="J33" s="20">
        <f t="shared" si="0"/>
        <v>148</v>
      </c>
    </row>
    <row r="34" spans="1:10" x14ac:dyDescent="0.15">
      <c r="A34" s="2">
        <v>66</v>
      </c>
      <c r="B34" s="1" t="s">
        <v>91</v>
      </c>
      <c r="C34" s="1" t="s">
        <v>15</v>
      </c>
      <c r="D34" s="1" t="s">
        <v>18</v>
      </c>
      <c r="E34" s="3">
        <v>335000</v>
      </c>
      <c r="F34" s="3">
        <v>330000</v>
      </c>
      <c r="G34" s="18">
        <f>F34/E34</f>
        <v>0.9850746268656716</v>
      </c>
      <c r="H34" s="4">
        <v>45453</v>
      </c>
      <c r="I34" s="4">
        <v>45474</v>
      </c>
      <c r="J34" s="20">
        <f t="shared" si="0"/>
        <v>21</v>
      </c>
    </row>
    <row r="35" spans="1:10" x14ac:dyDescent="0.15">
      <c r="A35" s="2">
        <v>25</v>
      </c>
      <c r="B35" s="1" t="s">
        <v>46</v>
      </c>
      <c r="C35" s="1" t="s">
        <v>15</v>
      </c>
      <c r="D35" s="1" t="s">
        <v>18</v>
      </c>
      <c r="E35" s="3">
        <v>250000</v>
      </c>
      <c r="F35" s="3">
        <v>232000</v>
      </c>
      <c r="G35" s="18">
        <f>F35/E35</f>
        <v>0.92800000000000005</v>
      </c>
      <c r="H35" s="4">
        <v>45411</v>
      </c>
      <c r="I35" s="4">
        <v>45461</v>
      </c>
      <c r="J35" s="20">
        <f t="shared" si="0"/>
        <v>50</v>
      </c>
    </row>
    <row r="36" spans="1:10" x14ac:dyDescent="0.15">
      <c r="A36" s="2">
        <v>5</v>
      </c>
      <c r="B36" s="1" t="s">
        <v>22</v>
      </c>
      <c r="C36" s="1" t="s">
        <v>15</v>
      </c>
      <c r="D36" s="1" t="s">
        <v>18</v>
      </c>
      <c r="E36" s="3">
        <v>385900</v>
      </c>
      <c r="F36" s="3">
        <v>385900</v>
      </c>
      <c r="G36" s="18">
        <f>F36/E36</f>
        <v>1</v>
      </c>
      <c r="H36" s="5">
        <v>45383</v>
      </c>
      <c r="I36" s="4">
        <v>45461</v>
      </c>
      <c r="J36" s="20">
        <f t="shared" si="0"/>
        <v>78</v>
      </c>
    </row>
    <row r="37" spans="1:10" x14ac:dyDescent="0.15">
      <c r="A37" s="2">
        <v>75</v>
      </c>
      <c r="B37" s="1" t="s">
        <v>100</v>
      </c>
      <c r="C37" s="1" t="s">
        <v>24</v>
      </c>
      <c r="D37" s="1" t="s">
        <v>18</v>
      </c>
      <c r="E37" s="3">
        <v>475000</v>
      </c>
      <c r="F37" s="3">
        <v>455000</v>
      </c>
      <c r="G37" s="18">
        <f>F37/E37</f>
        <v>0.95789473684210524</v>
      </c>
      <c r="H37" s="4">
        <v>45467</v>
      </c>
      <c r="I37" s="4">
        <v>45417</v>
      </c>
      <c r="J37" s="20">
        <f t="shared" si="0"/>
        <v>-50</v>
      </c>
    </row>
    <row r="38" spans="1:10" x14ac:dyDescent="0.15">
      <c r="A38" s="2">
        <v>62</v>
      </c>
      <c r="B38" s="1" t="s">
        <v>87</v>
      </c>
      <c r="C38" s="1" t="s">
        <v>39</v>
      </c>
      <c r="D38" s="1" t="s">
        <v>83</v>
      </c>
      <c r="E38" s="3">
        <v>399000</v>
      </c>
      <c r="F38" s="3">
        <v>350000</v>
      </c>
      <c r="G38" s="18">
        <f>F38/E38</f>
        <v>0.8771929824561403</v>
      </c>
      <c r="H38" s="4">
        <v>45445</v>
      </c>
      <c r="I38" s="4">
        <v>45449</v>
      </c>
      <c r="J38" s="20">
        <f t="shared" si="0"/>
        <v>4</v>
      </c>
    </row>
    <row r="39" spans="1:10" x14ac:dyDescent="0.15">
      <c r="A39" s="2">
        <v>58</v>
      </c>
      <c r="B39" s="1" t="s">
        <v>82</v>
      </c>
      <c r="C39" s="1" t="s">
        <v>15</v>
      </c>
      <c r="D39" s="1" t="s">
        <v>83</v>
      </c>
      <c r="E39" s="3">
        <v>316000</v>
      </c>
      <c r="F39" s="3">
        <v>316000</v>
      </c>
      <c r="G39" s="18">
        <f>F39/E39</f>
        <v>1</v>
      </c>
      <c r="H39" s="4">
        <v>45443</v>
      </c>
      <c r="I39" s="4">
        <v>45489</v>
      </c>
      <c r="J39" s="20">
        <f t="shared" si="0"/>
        <v>46</v>
      </c>
    </row>
    <row r="40" spans="1:10" x14ac:dyDescent="0.15">
      <c r="A40" s="2">
        <v>71</v>
      </c>
      <c r="B40" s="1" t="s">
        <v>96</v>
      </c>
      <c r="C40" s="1" t="s">
        <v>12</v>
      </c>
      <c r="D40" s="1" t="s">
        <v>13</v>
      </c>
      <c r="E40" s="3">
        <v>254500</v>
      </c>
      <c r="F40" s="3">
        <v>236685</v>
      </c>
      <c r="G40" s="18">
        <f>F40/E40</f>
        <v>0.93</v>
      </c>
      <c r="H40" s="4">
        <v>45466</v>
      </c>
      <c r="I40" s="4">
        <v>45469</v>
      </c>
      <c r="J40" s="20">
        <f t="shared" si="0"/>
        <v>3</v>
      </c>
    </row>
    <row r="41" spans="1:10" x14ac:dyDescent="0.15">
      <c r="A41" s="2">
        <v>11</v>
      </c>
      <c r="B41" s="1" t="s">
        <v>30</v>
      </c>
      <c r="C41" s="1" t="s">
        <v>15</v>
      </c>
      <c r="D41" s="1" t="s">
        <v>13</v>
      </c>
      <c r="E41" s="3">
        <v>325000</v>
      </c>
      <c r="F41" s="3">
        <v>320000</v>
      </c>
      <c r="G41" s="18">
        <f>F41/E41</f>
        <v>0.98461538461538467</v>
      </c>
      <c r="H41" s="4">
        <v>45394</v>
      </c>
      <c r="I41" s="4">
        <v>45442</v>
      </c>
      <c r="J41" s="20">
        <f t="shared" si="0"/>
        <v>48</v>
      </c>
    </row>
    <row r="42" spans="1:10" x14ac:dyDescent="0.15">
      <c r="A42" s="2">
        <v>35</v>
      </c>
      <c r="B42" s="1" t="s">
        <v>58</v>
      </c>
      <c r="C42" s="1" t="s">
        <v>12</v>
      </c>
      <c r="D42" s="1" t="s">
        <v>13</v>
      </c>
      <c r="E42" s="3">
        <v>560700</v>
      </c>
      <c r="F42" s="3">
        <v>550000</v>
      </c>
      <c r="G42" s="18">
        <f>F42/E42</f>
        <v>0.98091671125378987</v>
      </c>
      <c r="H42" s="4">
        <v>45413</v>
      </c>
      <c r="I42" s="4">
        <v>45565</v>
      </c>
      <c r="J42" s="20">
        <f t="shared" si="0"/>
        <v>152</v>
      </c>
    </row>
    <row r="43" spans="1:10" x14ac:dyDescent="0.15">
      <c r="A43" s="2">
        <v>21</v>
      </c>
      <c r="B43" s="1" t="s">
        <v>42</v>
      </c>
      <c r="C43" s="1" t="s">
        <v>20</v>
      </c>
      <c r="D43" s="1" t="s">
        <v>13</v>
      </c>
      <c r="E43" s="3">
        <v>325000</v>
      </c>
      <c r="F43" s="3">
        <v>302250</v>
      </c>
      <c r="G43" s="18">
        <f>F43/E43</f>
        <v>0.93</v>
      </c>
      <c r="H43" s="4">
        <v>45410</v>
      </c>
      <c r="I43" s="4">
        <v>45489</v>
      </c>
      <c r="J43" s="20">
        <f t="shared" si="0"/>
        <v>79</v>
      </c>
    </row>
    <row r="44" spans="1:10" x14ac:dyDescent="0.15">
      <c r="A44" s="2">
        <v>39</v>
      </c>
      <c r="B44" s="1" t="s">
        <v>62</v>
      </c>
      <c r="C44" s="1" t="s">
        <v>20</v>
      </c>
      <c r="D44" s="1" t="s">
        <v>13</v>
      </c>
      <c r="E44" s="3">
        <v>450000</v>
      </c>
      <c r="F44" s="3">
        <v>382500</v>
      </c>
      <c r="G44" s="18">
        <f>F44/E44</f>
        <v>0.85</v>
      </c>
      <c r="H44" s="4">
        <v>45417</v>
      </c>
      <c r="I44" s="4">
        <v>45558</v>
      </c>
      <c r="J44" s="20">
        <f t="shared" si="0"/>
        <v>141</v>
      </c>
    </row>
    <row r="45" spans="1:10" x14ac:dyDescent="0.15">
      <c r="A45" s="2">
        <v>28</v>
      </c>
      <c r="B45" s="1" t="s">
        <v>50</v>
      </c>
      <c r="C45" s="1" t="s">
        <v>39</v>
      </c>
      <c r="D45" s="1" t="s">
        <v>13</v>
      </c>
      <c r="E45" s="3">
        <v>450000</v>
      </c>
      <c r="F45" s="3">
        <v>400000</v>
      </c>
      <c r="G45" s="18">
        <f>F45/E45</f>
        <v>0.88888888888888884</v>
      </c>
      <c r="H45" s="4">
        <v>45412</v>
      </c>
      <c r="I45" s="4">
        <v>45459</v>
      </c>
      <c r="J45" s="20">
        <f t="shared" si="0"/>
        <v>47</v>
      </c>
    </row>
    <row r="46" spans="1:10" x14ac:dyDescent="0.15">
      <c r="A46" s="2">
        <v>30</v>
      </c>
      <c r="B46" s="1" t="s">
        <v>52</v>
      </c>
      <c r="C46" s="1" t="s">
        <v>20</v>
      </c>
      <c r="D46" s="1" t="s">
        <v>13</v>
      </c>
      <c r="E46" s="3">
        <v>250000</v>
      </c>
      <c r="F46" s="3">
        <v>255000</v>
      </c>
      <c r="G46" s="18">
        <f>F46/E46</f>
        <v>1.02</v>
      </c>
      <c r="H46" s="4">
        <v>45413</v>
      </c>
      <c r="I46" s="4">
        <v>45565</v>
      </c>
      <c r="J46" s="20">
        <f t="shared" si="0"/>
        <v>152</v>
      </c>
    </row>
    <row r="47" spans="1:10" x14ac:dyDescent="0.15">
      <c r="A47" s="2">
        <v>1</v>
      </c>
      <c r="B47" s="1" t="s">
        <v>11</v>
      </c>
      <c r="C47" s="1" t="s">
        <v>12</v>
      </c>
      <c r="D47" s="1" t="s">
        <v>13</v>
      </c>
      <c r="E47" s="3">
        <v>725000</v>
      </c>
      <c r="F47" s="3">
        <v>645250</v>
      </c>
      <c r="G47" s="18">
        <f>F47/E47</f>
        <v>0.89</v>
      </c>
      <c r="H47" s="5">
        <v>45383</v>
      </c>
      <c r="I47" s="4">
        <v>45565</v>
      </c>
      <c r="J47" s="20">
        <f t="shared" si="0"/>
        <v>182</v>
      </c>
    </row>
    <row r="48" spans="1:10" x14ac:dyDescent="0.15">
      <c r="A48" s="2">
        <v>70</v>
      </c>
      <c r="B48" s="1" t="s">
        <v>95</v>
      </c>
      <c r="C48" s="1" t="s">
        <v>15</v>
      </c>
      <c r="D48" s="1" t="s">
        <v>13</v>
      </c>
      <c r="E48" s="3">
        <v>345670</v>
      </c>
      <c r="F48" s="3">
        <v>345000</v>
      </c>
      <c r="G48" s="18">
        <f>F48/E48</f>
        <v>0.99806173518095298</v>
      </c>
      <c r="H48" s="4">
        <v>45463</v>
      </c>
      <c r="I48" s="4">
        <v>45611</v>
      </c>
      <c r="J48" s="20">
        <f t="shared" si="0"/>
        <v>148</v>
      </c>
    </row>
    <row r="49" spans="1:10" x14ac:dyDescent="0.15">
      <c r="A49" s="2">
        <v>18</v>
      </c>
      <c r="B49" s="1" t="s">
        <v>38</v>
      </c>
      <c r="C49" s="1" t="s">
        <v>39</v>
      </c>
      <c r="D49" s="1" t="s">
        <v>13</v>
      </c>
      <c r="E49" s="3">
        <v>300000</v>
      </c>
      <c r="F49" s="3">
        <v>300000</v>
      </c>
      <c r="G49" s="18">
        <f>F49/E49</f>
        <v>1</v>
      </c>
      <c r="H49" s="4">
        <v>45400</v>
      </c>
      <c r="I49" s="4">
        <v>45597</v>
      </c>
      <c r="J49" s="20">
        <f t="shared" si="0"/>
        <v>197</v>
      </c>
    </row>
    <row r="50" spans="1:10" x14ac:dyDescent="0.15">
      <c r="A50" s="2">
        <v>9</v>
      </c>
      <c r="B50" s="1" t="s">
        <v>28</v>
      </c>
      <c r="C50" s="1" t="s">
        <v>24</v>
      </c>
      <c r="D50" s="1" t="s">
        <v>21</v>
      </c>
      <c r="E50" s="3">
        <v>219000</v>
      </c>
      <c r="F50" s="3">
        <v>215000</v>
      </c>
      <c r="G50" s="18">
        <f>F50/E50</f>
        <v>0.9817351598173516</v>
      </c>
      <c r="H50" s="4">
        <v>45390</v>
      </c>
      <c r="I50" s="4">
        <v>45427</v>
      </c>
      <c r="J50" s="20">
        <f t="shared" si="0"/>
        <v>37</v>
      </c>
    </row>
    <row r="51" spans="1:10" x14ac:dyDescent="0.15">
      <c r="A51" s="2">
        <v>37</v>
      </c>
      <c r="B51" s="1" t="s">
        <v>60</v>
      </c>
      <c r="C51" s="1" t="s">
        <v>12</v>
      </c>
      <c r="D51" s="1" t="s">
        <v>21</v>
      </c>
      <c r="E51" s="3">
        <v>395000</v>
      </c>
      <c r="F51" s="3">
        <v>380000</v>
      </c>
      <c r="G51" s="18">
        <f>F51/E51</f>
        <v>0.96202531645569622</v>
      </c>
      <c r="H51" s="4">
        <v>45417</v>
      </c>
      <c r="I51" s="4">
        <v>45449</v>
      </c>
      <c r="J51" s="20">
        <f t="shared" si="0"/>
        <v>32</v>
      </c>
    </row>
    <row r="52" spans="1:10" x14ac:dyDescent="0.15">
      <c r="A52" s="2">
        <v>26</v>
      </c>
      <c r="B52" s="1" t="s">
        <v>47</v>
      </c>
      <c r="C52" s="1" t="s">
        <v>39</v>
      </c>
      <c r="D52" s="1" t="s">
        <v>21</v>
      </c>
      <c r="E52" s="3">
        <v>515000</v>
      </c>
      <c r="F52" s="3">
        <v>485750</v>
      </c>
      <c r="G52" s="18">
        <f>F52/E52</f>
        <v>0.94320388349514561</v>
      </c>
      <c r="H52" s="4">
        <v>45411</v>
      </c>
      <c r="I52" s="4">
        <v>45519</v>
      </c>
      <c r="J52" s="20">
        <f t="shared" si="0"/>
        <v>108</v>
      </c>
    </row>
    <row r="53" spans="1:10" x14ac:dyDescent="0.15">
      <c r="A53" s="2">
        <v>68</v>
      </c>
      <c r="B53" s="1" t="s">
        <v>93</v>
      </c>
      <c r="C53" s="1" t="s">
        <v>12</v>
      </c>
      <c r="D53" s="1" t="s">
        <v>21</v>
      </c>
      <c r="E53" s="3">
        <v>275000</v>
      </c>
      <c r="F53" s="3">
        <v>264000</v>
      </c>
      <c r="G53" s="18">
        <f>F53/E53</f>
        <v>0.96</v>
      </c>
      <c r="H53" s="4">
        <v>45456</v>
      </c>
      <c r="I53" s="4">
        <v>45452</v>
      </c>
      <c r="J53" s="20">
        <f t="shared" si="0"/>
        <v>-4</v>
      </c>
    </row>
    <row r="54" spans="1:10" x14ac:dyDescent="0.15">
      <c r="A54" s="2">
        <v>4</v>
      </c>
      <c r="B54" s="1" t="s">
        <v>19</v>
      </c>
      <c r="C54" s="1" t="s">
        <v>20</v>
      </c>
      <c r="D54" s="1" t="s">
        <v>21</v>
      </c>
      <c r="E54" s="3">
        <v>215800</v>
      </c>
      <c r="F54" s="3">
        <v>200000</v>
      </c>
      <c r="G54" s="18">
        <f>F54/E54</f>
        <v>0.92678405931417984</v>
      </c>
      <c r="H54" s="5">
        <v>45383</v>
      </c>
      <c r="I54" s="4">
        <v>45443</v>
      </c>
      <c r="J54" s="20">
        <f t="shared" si="0"/>
        <v>60</v>
      </c>
    </row>
    <row r="55" spans="1:10" x14ac:dyDescent="0.15">
      <c r="A55" s="2">
        <v>7</v>
      </c>
      <c r="B55" s="1" t="s">
        <v>25</v>
      </c>
      <c r="C55" s="1" t="s">
        <v>20</v>
      </c>
      <c r="D55" s="1" t="s">
        <v>21</v>
      </c>
      <c r="E55" s="3">
        <v>300000</v>
      </c>
      <c r="F55" s="3">
        <v>290000</v>
      </c>
      <c r="G55" s="18">
        <f>F55/E55</f>
        <v>0.96666666666666667</v>
      </c>
      <c r="H55" s="4">
        <v>45385</v>
      </c>
      <c r="I55" s="4">
        <v>45459</v>
      </c>
      <c r="J55" s="20">
        <f t="shared" si="0"/>
        <v>74</v>
      </c>
    </row>
    <row r="56" spans="1:10" x14ac:dyDescent="0.15">
      <c r="A56" s="2">
        <v>24</v>
      </c>
      <c r="B56" s="1" t="s">
        <v>45</v>
      </c>
      <c r="C56" s="1" t="s">
        <v>15</v>
      </c>
      <c r="D56" s="1" t="s">
        <v>21</v>
      </c>
      <c r="E56" s="3">
        <v>425815</v>
      </c>
      <c r="F56" s="3">
        <v>400000</v>
      </c>
      <c r="G56" s="18">
        <f>F56/E56</f>
        <v>0.93937508072754605</v>
      </c>
      <c r="H56" s="4">
        <v>45410</v>
      </c>
      <c r="I56" s="4">
        <v>45488</v>
      </c>
      <c r="J56" s="20">
        <f t="shared" si="0"/>
        <v>78</v>
      </c>
    </row>
    <row r="57" spans="1:10" x14ac:dyDescent="0.15">
      <c r="A57" s="2">
        <v>22</v>
      </c>
      <c r="B57" s="1" t="s">
        <v>43</v>
      </c>
      <c r="C57" s="1" t="s">
        <v>39</v>
      </c>
      <c r="D57" s="1" t="s">
        <v>21</v>
      </c>
      <c r="E57" s="3">
        <v>325000</v>
      </c>
      <c r="F57" s="3">
        <v>320000</v>
      </c>
      <c r="G57" s="18">
        <f>F57/E57</f>
        <v>0.98461538461538467</v>
      </c>
      <c r="H57" s="4">
        <v>45410</v>
      </c>
      <c r="I57" s="4">
        <v>45472</v>
      </c>
      <c r="J57" s="20">
        <f t="shared" si="0"/>
        <v>62</v>
      </c>
    </row>
    <row r="58" spans="1:10" x14ac:dyDescent="0.15">
      <c r="A58" s="2">
        <v>59</v>
      </c>
      <c r="B58" s="1" t="s">
        <v>84</v>
      </c>
      <c r="C58" s="1" t="s">
        <v>12</v>
      </c>
      <c r="D58" s="1" t="s">
        <v>35</v>
      </c>
      <c r="E58" s="3">
        <v>289900</v>
      </c>
      <c r="F58" s="3">
        <v>279000</v>
      </c>
      <c r="G58" s="18">
        <f>F58/E58</f>
        <v>0.96240082787167991</v>
      </c>
      <c r="H58" s="4">
        <v>45443</v>
      </c>
      <c r="I58" s="4">
        <v>45472</v>
      </c>
      <c r="J58" s="20">
        <f t="shared" si="0"/>
        <v>29</v>
      </c>
    </row>
    <row r="59" spans="1:10" x14ac:dyDescent="0.15">
      <c r="A59" s="2">
        <v>15</v>
      </c>
      <c r="B59" s="1" t="s">
        <v>34</v>
      </c>
      <c r="C59" s="1" t="s">
        <v>15</v>
      </c>
      <c r="D59" s="1" t="s">
        <v>35</v>
      </c>
      <c r="E59" s="3">
        <v>555000</v>
      </c>
      <c r="F59" s="3">
        <v>500000</v>
      </c>
      <c r="G59" s="18">
        <f>F59/E59</f>
        <v>0.90090090090090091</v>
      </c>
      <c r="H59" s="4">
        <v>45395</v>
      </c>
      <c r="I59" s="4">
        <v>45466</v>
      </c>
      <c r="J59" s="20">
        <f t="shared" si="0"/>
        <v>71</v>
      </c>
    </row>
    <row r="60" spans="1:10" x14ac:dyDescent="0.15">
      <c r="A60" s="2">
        <v>57</v>
      </c>
      <c r="B60" s="1" t="s">
        <v>81</v>
      </c>
      <c r="C60" s="1" t="s">
        <v>39</v>
      </c>
      <c r="D60" s="1" t="s">
        <v>35</v>
      </c>
      <c r="E60" s="3">
        <v>400000</v>
      </c>
      <c r="F60" s="3">
        <v>375000</v>
      </c>
      <c r="G60" s="18">
        <f>F60/E60</f>
        <v>0.9375</v>
      </c>
      <c r="H60" s="4">
        <v>45443</v>
      </c>
      <c r="I60" s="4">
        <v>45534</v>
      </c>
      <c r="J60" s="20">
        <f t="shared" si="0"/>
        <v>91</v>
      </c>
    </row>
    <row r="61" spans="1:10" x14ac:dyDescent="0.15">
      <c r="A61" s="2">
        <v>72</v>
      </c>
      <c r="B61" s="1" t="s">
        <v>97</v>
      </c>
      <c r="C61" s="1" t="s">
        <v>39</v>
      </c>
      <c r="D61" s="1" t="s">
        <v>35</v>
      </c>
      <c r="E61" s="3">
        <v>300000</v>
      </c>
      <c r="F61" s="3">
        <v>250000</v>
      </c>
      <c r="G61" s="18">
        <f>F61/E61</f>
        <v>0.83333333333333337</v>
      </c>
      <c r="H61" s="4">
        <v>45466</v>
      </c>
      <c r="I61" s="4">
        <v>45461</v>
      </c>
      <c r="J61" s="20">
        <f t="shared" si="0"/>
        <v>-5</v>
      </c>
    </row>
    <row r="62" spans="1:10" x14ac:dyDescent="0.15">
      <c r="A62" s="2">
        <v>47</v>
      </c>
      <c r="B62" s="1" t="s">
        <v>70</v>
      </c>
      <c r="C62" s="1" t="s">
        <v>39</v>
      </c>
      <c r="D62" s="1" t="s">
        <v>35</v>
      </c>
      <c r="E62" s="3">
        <v>325000</v>
      </c>
      <c r="F62" s="3">
        <v>325000</v>
      </c>
      <c r="G62" s="18">
        <f>F62/E62</f>
        <v>1</v>
      </c>
      <c r="H62" s="4">
        <v>45430</v>
      </c>
      <c r="I62" s="4">
        <v>45519</v>
      </c>
      <c r="J62" s="20">
        <f t="shared" si="0"/>
        <v>89</v>
      </c>
    </row>
    <row r="63" spans="1:10" x14ac:dyDescent="0.15">
      <c r="A63" s="2">
        <v>16</v>
      </c>
      <c r="B63" s="1" t="s">
        <v>36</v>
      </c>
      <c r="C63" s="1" t="s">
        <v>24</v>
      </c>
      <c r="D63" s="1" t="s">
        <v>35</v>
      </c>
      <c r="E63" s="3">
        <v>450000</v>
      </c>
      <c r="F63" s="3">
        <v>382500</v>
      </c>
      <c r="G63" s="18">
        <f>F63/E63</f>
        <v>0.85</v>
      </c>
      <c r="H63" s="4">
        <v>45397</v>
      </c>
      <c r="I63" s="4">
        <v>45505</v>
      </c>
      <c r="J63" s="20">
        <f t="shared" si="0"/>
        <v>108</v>
      </c>
    </row>
    <row r="64" spans="1:10" x14ac:dyDescent="0.15">
      <c r="A64" s="2">
        <v>10</v>
      </c>
      <c r="B64" s="1" t="s">
        <v>29</v>
      </c>
      <c r="C64" s="1" t="s">
        <v>20</v>
      </c>
      <c r="D64" s="1" t="s">
        <v>27</v>
      </c>
      <c r="E64" s="3">
        <v>165000</v>
      </c>
      <c r="F64" s="3">
        <v>156750</v>
      </c>
      <c r="G64" s="18">
        <f>F64/E64</f>
        <v>0.95</v>
      </c>
      <c r="H64" s="4">
        <v>45394</v>
      </c>
      <c r="I64" s="4">
        <v>45523</v>
      </c>
      <c r="J64" s="20">
        <f t="shared" si="0"/>
        <v>129</v>
      </c>
    </row>
    <row r="65" spans="1:10" x14ac:dyDescent="0.15">
      <c r="A65" s="2">
        <v>17</v>
      </c>
      <c r="B65" s="1" t="s">
        <v>37</v>
      </c>
      <c r="C65" s="1" t="s">
        <v>24</v>
      </c>
      <c r="D65" s="1" t="s">
        <v>27</v>
      </c>
      <c r="E65" s="3">
        <v>345000</v>
      </c>
      <c r="F65" s="3">
        <v>339999</v>
      </c>
      <c r="G65" s="18">
        <f>F65/E65</f>
        <v>0.98550434782608698</v>
      </c>
      <c r="H65" s="4">
        <v>45400</v>
      </c>
      <c r="I65" s="4">
        <v>45488</v>
      </c>
      <c r="J65" s="20">
        <f t="shared" si="0"/>
        <v>88</v>
      </c>
    </row>
    <row r="66" spans="1:10" x14ac:dyDescent="0.15">
      <c r="A66" s="2">
        <v>8</v>
      </c>
      <c r="B66" s="1" t="s">
        <v>26</v>
      </c>
      <c r="C66" s="1" t="s">
        <v>15</v>
      </c>
      <c r="D66" s="1" t="s">
        <v>27</v>
      </c>
      <c r="E66" s="3">
        <v>565000</v>
      </c>
      <c r="F66" s="3">
        <v>535000</v>
      </c>
      <c r="G66" s="18">
        <f>F66/E66</f>
        <v>0.94690265486725667</v>
      </c>
      <c r="H66" s="4">
        <v>45388</v>
      </c>
      <c r="I66" s="4">
        <v>45473</v>
      </c>
      <c r="J66" s="20">
        <f t="shared" si="0"/>
        <v>85</v>
      </c>
    </row>
    <row r="67" spans="1:10" x14ac:dyDescent="0.15">
      <c r="A67" s="2">
        <v>67</v>
      </c>
      <c r="B67" s="1" t="s">
        <v>92</v>
      </c>
      <c r="C67" s="1" t="s">
        <v>39</v>
      </c>
      <c r="D67" s="1" t="s">
        <v>27</v>
      </c>
      <c r="E67" s="3">
        <v>250000</v>
      </c>
      <c r="F67" s="3">
        <v>275000</v>
      </c>
      <c r="G67" s="18">
        <f>F67/E67</f>
        <v>1.1000000000000001</v>
      </c>
      <c r="H67" s="4">
        <v>45455</v>
      </c>
      <c r="I67" s="4">
        <v>45444</v>
      </c>
      <c r="J67" s="20">
        <f t="shared" si="0"/>
        <v>-11</v>
      </c>
    </row>
    <row r="68" spans="1:10" x14ac:dyDescent="0.15">
      <c r="A68" s="2">
        <v>20</v>
      </c>
      <c r="B68" s="1" t="s">
        <v>41</v>
      </c>
      <c r="C68" s="1" t="s">
        <v>24</v>
      </c>
      <c r="D68" s="1" t="s">
        <v>27</v>
      </c>
      <c r="E68" s="3">
        <v>325000</v>
      </c>
      <c r="F68" s="3">
        <v>308750</v>
      </c>
      <c r="G68" s="18">
        <f>F68/E68</f>
        <v>0.95</v>
      </c>
      <c r="H68" s="4">
        <v>45401</v>
      </c>
      <c r="I68" s="4">
        <v>45519</v>
      </c>
      <c r="J68" s="20">
        <f t="shared" si="0"/>
        <v>118</v>
      </c>
    </row>
    <row r="69" spans="1:10" x14ac:dyDescent="0.15">
      <c r="A69" s="2">
        <v>65</v>
      </c>
      <c r="B69" s="1" t="s">
        <v>90</v>
      </c>
      <c r="C69" s="1" t="s">
        <v>24</v>
      </c>
      <c r="D69" s="1" t="s">
        <v>27</v>
      </c>
      <c r="E69" s="3">
        <v>189900</v>
      </c>
      <c r="F69" s="3">
        <v>186102</v>
      </c>
      <c r="G69" s="18">
        <f>F69/E69</f>
        <v>0.98</v>
      </c>
      <c r="H69" s="4">
        <v>45449</v>
      </c>
      <c r="I69" s="4">
        <v>45519</v>
      </c>
      <c r="J69" s="20">
        <f t="shared" ref="J69:J93" si="1">I69-H69</f>
        <v>70</v>
      </c>
    </row>
    <row r="70" spans="1:10" x14ac:dyDescent="0.15">
      <c r="A70" s="2">
        <v>42</v>
      </c>
      <c r="B70" s="1" t="s">
        <v>65</v>
      </c>
      <c r="C70" s="1" t="s">
        <v>39</v>
      </c>
      <c r="D70" s="1" t="s">
        <v>27</v>
      </c>
      <c r="E70" s="3">
        <v>460750</v>
      </c>
      <c r="F70" s="3">
        <v>435500</v>
      </c>
      <c r="G70" s="18">
        <f>F70/E70</f>
        <v>0.94519804666304941</v>
      </c>
      <c r="H70" s="4">
        <v>45417</v>
      </c>
      <c r="I70" s="4">
        <v>45537</v>
      </c>
      <c r="J70" s="20">
        <f t="shared" si="1"/>
        <v>120</v>
      </c>
    </row>
    <row r="71" spans="1:10" x14ac:dyDescent="0.15">
      <c r="A71" s="2">
        <v>23</v>
      </c>
      <c r="B71" s="1" t="s">
        <v>44</v>
      </c>
      <c r="C71" s="1" t="s">
        <v>39</v>
      </c>
      <c r="D71" s="1" t="s">
        <v>27</v>
      </c>
      <c r="E71" s="3">
        <v>285750</v>
      </c>
      <c r="F71" s="3">
        <v>300000</v>
      </c>
      <c r="G71" s="18">
        <f>F71/E71</f>
        <v>1.0498687664041995</v>
      </c>
      <c r="H71" s="4">
        <v>45410</v>
      </c>
      <c r="I71" s="4">
        <v>45626</v>
      </c>
      <c r="J71" s="20">
        <f t="shared" si="1"/>
        <v>216</v>
      </c>
    </row>
    <row r="72" spans="1:10" x14ac:dyDescent="0.15">
      <c r="A72" s="2">
        <v>69</v>
      </c>
      <c r="B72" s="1" t="s">
        <v>94</v>
      </c>
      <c r="C72" s="1" t="s">
        <v>24</v>
      </c>
      <c r="D72" s="1" t="s">
        <v>27</v>
      </c>
      <c r="E72" s="3">
        <v>589000</v>
      </c>
      <c r="F72" s="3">
        <v>575000</v>
      </c>
      <c r="G72" s="18">
        <f>F72/E72</f>
        <v>0.97623089983022071</v>
      </c>
      <c r="H72" s="4">
        <v>45461</v>
      </c>
      <c r="I72" s="4">
        <v>45580</v>
      </c>
      <c r="J72" s="20">
        <f t="shared" si="1"/>
        <v>119</v>
      </c>
    </row>
    <row r="73" spans="1:10" x14ac:dyDescent="0.15">
      <c r="A73" s="2">
        <v>31</v>
      </c>
      <c r="B73" s="1" t="s">
        <v>53</v>
      </c>
      <c r="C73" s="1" t="s">
        <v>39</v>
      </c>
      <c r="D73" s="1" t="s">
        <v>49</v>
      </c>
      <c r="E73" s="3">
        <v>375500</v>
      </c>
      <c r="F73" s="3">
        <v>375500</v>
      </c>
      <c r="G73" s="18">
        <f>F73/E73</f>
        <v>1</v>
      </c>
      <c r="H73" s="4">
        <v>45413</v>
      </c>
      <c r="I73" s="4">
        <v>45474</v>
      </c>
      <c r="J73" s="20">
        <f t="shared" si="1"/>
        <v>61</v>
      </c>
    </row>
    <row r="74" spans="1:10" x14ac:dyDescent="0.15">
      <c r="A74" s="2">
        <v>44</v>
      </c>
      <c r="B74" s="1" t="s">
        <v>67</v>
      </c>
      <c r="C74" s="1" t="s">
        <v>24</v>
      </c>
      <c r="D74" s="1" t="s">
        <v>49</v>
      </c>
      <c r="E74" s="3">
        <v>1250000</v>
      </c>
      <c r="F74" s="3">
        <v>1225000</v>
      </c>
      <c r="G74" s="18">
        <f>F74/E74</f>
        <v>0.98</v>
      </c>
      <c r="H74" s="4">
        <v>45424</v>
      </c>
      <c r="I74" s="4">
        <v>45499</v>
      </c>
      <c r="J74" s="20">
        <f t="shared" si="1"/>
        <v>75</v>
      </c>
    </row>
    <row r="75" spans="1:10" x14ac:dyDescent="0.15">
      <c r="A75" s="2">
        <v>27</v>
      </c>
      <c r="B75" s="1" t="s">
        <v>48</v>
      </c>
      <c r="C75" s="1" t="s">
        <v>24</v>
      </c>
      <c r="D75" s="1" t="s">
        <v>49</v>
      </c>
      <c r="E75" s="3">
        <v>400000</v>
      </c>
      <c r="F75" s="3">
        <v>375000</v>
      </c>
      <c r="G75" s="18">
        <f>F75/E75</f>
        <v>0.9375</v>
      </c>
      <c r="H75" s="4">
        <v>45412</v>
      </c>
      <c r="I75" s="4">
        <v>45550</v>
      </c>
      <c r="J75" s="20">
        <f t="shared" si="1"/>
        <v>138</v>
      </c>
    </row>
    <row r="76" spans="1:10" x14ac:dyDescent="0.15">
      <c r="A76" s="2">
        <v>29</v>
      </c>
      <c r="B76" s="1" t="s">
        <v>51</v>
      </c>
      <c r="C76" s="1" t="s">
        <v>39</v>
      </c>
      <c r="D76" s="1" t="s">
        <v>49</v>
      </c>
      <c r="E76" s="3">
        <v>310000</v>
      </c>
      <c r="F76" s="3">
        <v>300000</v>
      </c>
      <c r="G76" s="18">
        <f>F76/E76</f>
        <v>0.967741935483871</v>
      </c>
      <c r="H76" s="4">
        <v>45412</v>
      </c>
      <c r="I76" s="4">
        <v>45468</v>
      </c>
      <c r="J76" s="20">
        <f t="shared" si="1"/>
        <v>56</v>
      </c>
    </row>
    <row r="77" spans="1:10" x14ac:dyDescent="0.15">
      <c r="A77" s="2">
        <v>41</v>
      </c>
      <c r="B77" s="1" t="s">
        <v>64</v>
      </c>
      <c r="C77" s="1" t="s">
        <v>39</v>
      </c>
      <c r="D77" s="1" t="s">
        <v>49</v>
      </c>
      <c r="E77" s="3">
        <v>500000</v>
      </c>
      <c r="F77" s="3">
        <v>425000</v>
      </c>
      <c r="G77" s="18">
        <f>F77/E77</f>
        <v>0.85</v>
      </c>
      <c r="H77" s="4">
        <v>45417</v>
      </c>
      <c r="I77" s="4">
        <v>45494</v>
      </c>
      <c r="J77" s="20">
        <f t="shared" si="1"/>
        <v>77</v>
      </c>
    </row>
    <row r="78" spans="1:10" x14ac:dyDescent="0.15">
      <c r="A78" s="2">
        <v>77</v>
      </c>
      <c r="B78" s="1" t="s">
        <v>102</v>
      </c>
      <c r="C78" s="1" t="s">
        <v>39</v>
      </c>
      <c r="D78" s="1" t="s">
        <v>49</v>
      </c>
      <c r="E78" s="3">
        <v>299999</v>
      </c>
      <c r="F78" s="3">
        <v>280000</v>
      </c>
      <c r="G78" s="18">
        <f>F78/E78</f>
        <v>0.9333364444548149</v>
      </c>
      <c r="H78" s="4">
        <v>45472</v>
      </c>
      <c r="I78" s="4">
        <v>45481</v>
      </c>
      <c r="J78" s="20">
        <f t="shared" si="1"/>
        <v>9</v>
      </c>
    </row>
    <row r="79" spans="1:10" x14ac:dyDescent="0.15">
      <c r="A79" s="2">
        <v>79</v>
      </c>
      <c r="B79" s="1" t="s">
        <v>104</v>
      </c>
      <c r="C79" s="1" t="s">
        <v>39</v>
      </c>
      <c r="D79" s="1" t="s">
        <v>49</v>
      </c>
      <c r="E79" s="3">
        <v>339999</v>
      </c>
      <c r="F79" s="3">
        <v>310000</v>
      </c>
      <c r="G79" s="18">
        <f>F79/E79</f>
        <v>0.91176738755113984</v>
      </c>
      <c r="H79" s="4">
        <v>45473</v>
      </c>
      <c r="I79" s="4">
        <v>45565</v>
      </c>
      <c r="J79" s="20">
        <f t="shared" si="1"/>
        <v>92</v>
      </c>
    </row>
    <row r="80" spans="1:10" x14ac:dyDescent="0.15">
      <c r="A80" s="2">
        <v>81</v>
      </c>
      <c r="B80" s="1" t="s">
        <v>106</v>
      </c>
      <c r="C80" s="1" t="s">
        <v>12</v>
      </c>
      <c r="D80" s="1" t="s">
        <v>55</v>
      </c>
      <c r="E80" s="3">
        <v>245900</v>
      </c>
      <c r="F80" s="3">
        <v>233605</v>
      </c>
      <c r="G80" s="18">
        <f>F80/E80</f>
        <v>0.95</v>
      </c>
      <c r="H80" s="4">
        <v>45473</v>
      </c>
      <c r="I80" s="4">
        <v>45565</v>
      </c>
      <c r="J80" s="20">
        <f t="shared" si="1"/>
        <v>92</v>
      </c>
    </row>
    <row r="81" spans="1:10" x14ac:dyDescent="0.15">
      <c r="A81" s="2">
        <v>64</v>
      </c>
      <c r="B81" s="1" t="s">
        <v>89</v>
      </c>
      <c r="C81" s="1" t="s">
        <v>39</v>
      </c>
      <c r="D81" s="1" t="s">
        <v>55</v>
      </c>
      <c r="E81" s="3">
        <v>285750</v>
      </c>
      <c r="F81" s="3">
        <v>300000</v>
      </c>
      <c r="G81" s="18">
        <f>F81/E81</f>
        <v>1.0498687664041995</v>
      </c>
      <c r="H81" s="4">
        <v>45448</v>
      </c>
      <c r="I81" s="4">
        <v>45556</v>
      </c>
      <c r="J81" s="20">
        <f t="shared" si="1"/>
        <v>108</v>
      </c>
    </row>
    <row r="82" spans="1:10" x14ac:dyDescent="0.15">
      <c r="A82" s="2">
        <v>36</v>
      </c>
      <c r="B82" s="1" t="s">
        <v>59</v>
      </c>
      <c r="C82" s="1" t="s">
        <v>15</v>
      </c>
      <c r="D82" s="1" t="s">
        <v>55</v>
      </c>
      <c r="E82" s="3">
        <v>450000</v>
      </c>
      <c r="F82" s="3">
        <v>400000</v>
      </c>
      <c r="G82" s="18">
        <f>F82/E82</f>
        <v>0.88888888888888884</v>
      </c>
      <c r="H82" s="4">
        <v>45414</v>
      </c>
      <c r="I82" s="4">
        <v>45598</v>
      </c>
      <c r="J82" s="20">
        <f t="shared" si="1"/>
        <v>184</v>
      </c>
    </row>
    <row r="83" spans="1:10" x14ac:dyDescent="0.15">
      <c r="A83" s="2">
        <v>50</v>
      </c>
      <c r="B83" s="1" t="s">
        <v>74</v>
      </c>
      <c r="C83" s="1" t="s">
        <v>24</v>
      </c>
      <c r="D83" s="1" t="s">
        <v>55</v>
      </c>
      <c r="E83" s="3">
        <v>310000</v>
      </c>
      <c r="F83" s="3">
        <v>291400</v>
      </c>
      <c r="G83" s="18">
        <f>F83/E83</f>
        <v>0.94</v>
      </c>
      <c r="H83" s="4">
        <v>45434</v>
      </c>
      <c r="I83" s="4">
        <v>45473</v>
      </c>
      <c r="J83" s="20">
        <f t="shared" si="1"/>
        <v>39</v>
      </c>
    </row>
    <row r="84" spans="1:10" x14ac:dyDescent="0.15">
      <c r="A84" s="2">
        <v>38</v>
      </c>
      <c r="B84" s="1" t="s">
        <v>61</v>
      </c>
      <c r="C84" s="1" t="s">
        <v>39</v>
      </c>
      <c r="D84" s="1" t="s">
        <v>55</v>
      </c>
      <c r="E84" s="3">
        <v>475000</v>
      </c>
      <c r="F84" s="3">
        <v>425250</v>
      </c>
      <c r="G84" s="18">
        <f>F84/E84</f>
        <v>0.89526315789473687</v>
      </c>
      <c r="H84" s="4">
        <v>45417</v>
      </c>
      <c r="I84" s="4">
        <v>45519</v>
      </c>
      <c r="J84" s="20">
        <f t="shared" si="1"/>
        <v>102</v>
      </c>
    </row>
    <row r="85" spans="1:10" x14ac:dyDescent="0.15">
      <c r="A85" s="2">
        <v>32</v>
      </c>
      <c r="B85" s="1" t="s">
        <v>54</v>
      </c>
      <c r="C85" s="1" t="s">
        <v>12</v>
      </c>
      <c r="D85" s="1" t="s">
        <v>55</v>
      </c>
      <c r="E85" s="3">
        <v>185500</v>
      </c>
      <c r="F85" s="3">
        <v>179000</v>
      </c>
      <c r="G85" s="18">
        <f>F85/E85</f>
        <v>0.96495956873315369</v>
      </c>
      <c r="H85" s="4">
        <v>45413</v>
      </c>
      <c r="I85" s="4">
        <v>45553</v>
      </c>
      <c r="J85" s="20">
        <f t="shared" si="1"/>
        <v>140</v>
      </c>
    </row>
    <row r="86" spans="1:10" x14ac:dyDescent="0.15">
      <c r="I86" s="4">
        <v>45541</v>
      </c>
      <c r="J86" s="20">
        <f t="shared" si="1"/>
        <v>45541</v>
      </c>
    </row>
    <row r="87" spans="1:10" x14ac:dyDescent="0.15">
      <c r="I87" s="4">
        <v>45565</v>
      </c>
      <c r="J87" s="20">
        <f t="shared" si="1"/>
        <v>45565</v>
      </c>
    </row>
    <row r="88" spans="1:10" x14ac:dyDescent="0.15">
      <c r="I88" s="4">
        <v>45488</v>
      </c>
      <c r="J88" s="20">
        <f t="shared" si="1"/>
        <v>45488</v>
      </c>
    </row>
    <row r="89" spans="1:10" x14ac:dyDescent="0.15">
      <c r="I89" s="4">
        <v>45566</v>
      </c>
      <c r="J89" s="20">
        <f t="shared" si="1"/>
        <v>45566</v>
      </c>
    </row>
    <row r="90" spans="1:10" x14ac:dyDescent="0.15">
      <c r="I90" s="4">
        <v>45536</v>
      </c>
      <c r="J90" s="20">
        <f t="shared" si="1"/>
        <v>45536</v>
      </c>
    </row>
    <row r="91" spans="1:10" x14ac:dyDescent="0.15">
      <c r="I91" s="4">
        <v>45536</v>
      </c>
      <c r="J91" s="20">
        <f t="shared" si="1"/>
        <v>45536</v>
      </c>
    </row>
    <row r="92" spans="1:10" x14ac:dyDescent="0.15">
      <c r="I92" s="4">
        <v>45520</v>
      </c>
      <c r="J92" s="20">
        <f t="shared" si="1"/>
        <v>45520</v>
      </c>
    </row>
    <row r="93" spans="1:10" x14ac:dyDescent="0.15">
      <c r="I93" t="s">
        <v>109</v>
      </c>
      <c r="J93" s="20">
        <f t="shared" si="1"/>
        <v>45519</v>
      </c>
    </row>
    <row r="94" spans="1:10" x14ac:dyDescent="0.15">
      <c r="A94" s="10" t="s">
        <v>110</v>
      </c>
      <c r="E94" s="16">
        <f>SUM(E4:E85)</f>
        <v>31774453</v>
      </c>
      <c r="F94" s="16">
        <f>SUM(F4:F85)</f>
        <v>30109210</v>
      </c>
      <c r="G94" s="17">
        <f>AVERAGE(G4:G85)</f>
        <v>0.95225465042341184</v>
      </c>
      <c r="J94">
        <f>AVERAGE(J4:J93)</f>
        <v>4110.4555555555553</v>
      </c>
    </row>
  </sheetData>
  <mergeCells count="1">
    <mergeCell ref="A1:J1"/>
  </mergeCells>
  <pageMargins left="0.7" right="0.7" top="0.75" bottom="0.75" header="0.3" footer="0.3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6108D-AFCB-1749-876D-F78BAC74A715}">
  <dimension ref="A1:K92"/>
  <sheetViews>
    <sheetView workbookViewId="0">
      <selection activeCell="P8" sqref="P8"/>
    </sheetView>
  </sheetViews>
  <sheetFormatPr baseColWidth="10" defaultRowHeight="13" x14ac:dyDescent="0.15"/>
  <cols>
    <col min="2" max="2" width="23.1640625" customWidth="1"/>
    <col min="3" max="3" width="18.83203125" customWidth="1"/>
    <col min="4" max="4" width="12.33203125" customWidth="1"/>
    <col min="5" max="5" width="12.6640625" customWidth="1"/>
    <col min="6" max="6" width="15.83203125" customWidth="1"/>
  </cols>
  <sheetData>
    <row r="1" spans="1:11" x14ac:dyDescent="0.1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</row>
    <row r="2" spans="1:11" x14ac:dyDescent="0.15">
      <c r="A2" s="9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t="s">
        <v>7</v>
      </c>
      <c r="H2" s="10" t="s">
        <v>8</v>
      </c>
      <c r="I2" s="10" t="s">
        <v>9</v>
      </c>
      <c r="J2" s="8" t="s">
        <v>10</v>
      </c>
      <c r="K2" s="8"/>
    </row>
    <row r="3" spans="1:11" hidden="1" x14ac:dyDescent="0.15">
      <c r="A3" s="2">
        <v>76</v>
      </c>
      <c r="B3" s="1" t="s">
        <v>101</v>
      </c>
      <c r="C3" s="1" t="s">
        <v>20</v>
      </c>
      <c r="D3" s="1" t="s">
        <v>72</v>
      </c>
      <c r="E3" s="3">
        <v>165900</v>
      </c>
      <c r="F3" s="3">
        <v>159264</v>
      </c>
      <c r="G3" s="18">
        <f>F3/E3</f>
        <v>0.96</v>
      </c>
      <c r="H3" s="4">
        <v>45472</v>
      </c>
      <c r="I3" s="4">
        <v>45459</v>
      </c>
      <c r="J3" s="20">
        <f>I3-H3</f>
        <v>-13</v>
      </c>
    </row>
    <row r="4" spans="1:11" hidden="1" x14ac:dyDescent="0.15">
      <c r="A4" s="14">
        <v>82</v>
      </c>
      <c r="B4" t="s">
        <v>107</v>
      </c>
      <c r="C4" t="s">
        <v>20</v>
      </c>
      <c r="D4" t="s">
        <v>72</v>
      </c>
      <c r="E4" s="15">
        <v>175500</v>
      </c>
      <c r="F4" s="15">
        <v>171900</v>
      </c>
      <c r="G4" s="18">
        <f>F4/E4</f>
        <v>0.97948717948717945</v>
      </c>
      <c r="H4" s="19" t="s">
        <v>108</v>
      </c>
      <c r="I4" s="4">
        <v>45427</v>
      </c>
      <c r="J4" s="20">
        <f t="shared" ref="J4:J67" si="0">I4-H4</f>
        <v>-46</v>
      </c>
    </row>
    <row r="5" spans="1:11" hidden="1" x14ac:dyDescent="0.15">
      <c r="A5" s="2">
        <v>61</v>
      </c>
      <c r="B5" s="1" t="s">
        <v>86</v>
      </c>
      <c r="C5" s="1" t="s">
        <v>20</v>
      </c>
      <c r="D5" s="1" t="s">
        <v>72</v>
      </c>
      <c r="E5" s="3">
        <v>259900</v>
      </c>
      <c r="F5" s="3">
        <v>246905</v>
      </c>
      <c r="G5" s="18">
        <f>F5/E5</f>
        <v>0.95</v>
      </c>
      <c r="H5" s="4">
        <v>45445</v>
      </c>
      <c r="I5" s="4">
        <v>45444</v>
      </c>
      <c r="J5" s="20">
        <f t="shared" si="0"/>
        <v>-1</v>
      </c>
    </row>
    <row r="6" spans="1:11" x14ac:dyDescent="0.15">
      <c r="A6" s="2">
        <v>48</v>
      </c>
      <c r="B6" s="1" t="s">
        <v>71</v>
      </c>
      <c r="C6" s="1" t="s">
        <v>24</v>
      </c>
      <c r="D6" s="1" t="s">
        <v>72</v>
      </c>
      <c r="E6" s="3">
        <v>147800</v>
      </c>
      <c r="F6" s="3">
        <v>150000</v>
      </c>
      <c r="G6" s="18">
        <f>F6/E6</f>
        <v>1.0148849797023005</v>
      </c>
      <c r="H6" s="4">
        <v>45434</v>
      </c>
      <c r="I6" s="4">
        <v>45437</v>
      </c>
      <c r="J6" s="20">
        <f t="shared" si="0"/>
        <v>3</v>
      </c>
    </row>
    <row r="7" spans="1:11" x14ac:dyDescent="0.15">
      <c r="A7" s="2">
        <v>6</v>
      </c>
      <c r="B7" s="1" t="s">
        <v>23</v>
      </c>
      <c r="C7" s="1" t="s">
        <v>24</v>
      </c>
      <c r="D7" s="1" t="s">
        <v>16</v>
      </c>
      <c r="E7" s="3">
        <v>500000</v>
      </c>
      <c r="F7" s="3">
        <v>465000</v>
      </c>
      <c r="G7" s="18">
        <f>F7/E7</f>
        <v>0.93</v>
      </c>
      <c r="H7" s="4">
        <v>45385</v>
      </c>
      <c r="I7" s="4">
        <v>45412</v>
      </c>
      <c r="J7" s="20">
        <f t="shared" si="0"/>
        <v>27</v>
      </c>
    </row>
    <row r="8" spans="1:11" x14ac:dyDescent="0.15">
      <c r="A8" s="2">
        <v>40</v>
      </c>
      <c r="B8" s="1" t="s">
        <v>63</v>
      </c>
      <c r="C8" s="1" t="s">
        <v>24</v>
      </c>
      <c r="D8" s="1" t="s">
        <v>18</v>
      </c>
      <c r="E8" s="3">
        <v>1500120</v>
      </c>
      <c r="F8" s="3">
        <v>1400000</v>
      </c>
      <c r="G8" s="18">
        <f>F8/E8</f>
        <v>0.93325867263952222</v>
      </c>
      <c r="H8" s="4">
        <v>45417</v>
      </c>
      <c r="I8" s="4">
        <v>45453</v>
      </c>
      <c r="J8" s="20">
        <f t="shared" si="0"/>
        <v>36</v>
      </c>
    </row>
    <row r="9" spans="1:11" x14ac:dyDescent="0.15">
      <c r="A9" s="2">
        <v>12</v>
      </c>
      <c r="B9" s="1" t="s">
        <v>31</v>
      </c>
      <c r="C9" s="1" t="s">
        <v>24</v>
      </c>
      <c r="D9" s="1" t="s">
        <v>18</v>
      </c>
      <c r="E9" s="3">
        <v>750250</v>
      </c>
      <c r="F9" s="3">
        <v>700000</v>
      </c>
      <c r="G9" s="18">
        <f>F9/E9</f>
        <v>0.93302232589136957</v>
      </c>
      <c r="H9" s="4">
        <v>45394</v>
      </c>
      <c r="I9" s="4">
        <v>45444</v>
      </c>
      <c r="J9" s="20">
        <f t="shared" si="0"/>
        <v>50</v>
      </c>
    </row>
    <row r="10" spans="1:11" x14ac:dyDescent="0.15">
      <c r="A10" s="2">
        <v>75</v>
      </c>
      <c r="B10" s="1" t="s">
        <v>100</v>
      </c>
      <c r="C10" s="1" t="s">
        <v>24</v>
      </c>
      <c r="D10" s="1" t="s">
        <v>18</v>
      </c>
      <c r="E10" s="3">
        <v>475000</v>
      </c>
      <c r="F10" s="3">
        <v>455000</v>
      </c>
      <c r="G10" s="18">
        <f>F10/E10</f>
        <v>0.95789473684210524</v>
      </c>
      <c r="H10" s="4">
        <v>45467</v>
      </c>
      <c r="I10" s="4">
        <v>45565</v>
      </c>
      <c r="J10" s="20">
        <f t="shared" si="0"/>
        <v>98</v>
      </c>
    </row>
    <row r="11" spans="1:11" x14ac:dyDescent="0.15">
      <c r="A11" s="2">
        <v>9</v>
      </c>
      <c r="B11" s="1" t="s">
        <v>28</v>
      </c>
      <c r="C11" s="1" t="s">
        <v>24</v>
      </c>
      <c r="D11" s="1" t="s">
        <v>21</v>
      </c>
      <c r="E11" s="3">
        <v>219000</v>
      </c>
      <c r="F11" s="3">
        <v>215000</v>
      </c>
      <c r="G11" s="18">
        <f>F11/E11</f>
        <v>0.9817351598173516</v>
      </c>
      <c r="H11" s="4">
        <v>45390</v>
      </c>
      <c r="I11" s="4">
        <v>45445</v>
      </c>
      <c r="J11" s="20">
        <f t="shared" si="0"/>
        <v>55</v>
      </c>
    </row>
    <row r="12" spans="1:11" x14ac:dyDescent="0.15">
      <c r="A12" s="2">
        <v>16</v>
      </c>
      <c r="B12" s="1" t="s">
        <v>36</v>
      </c>
      <c r="C12" s="1" t="s">
        <v>24</v>
      </c>
      <c r="D12" s="1" t="s">
        <v>35</v>
      </c>
      <c r="E12" s="3">
        <v>450000</v>
      </c>
      <c r="F12" s="3">
        <v>382500</v>
      </c>
      <c r="G12" s="18">
        <f>F12/E12</f>
        <v>0.85</v>
      </c>
      <c r="H12" s="4">
        <v>45397</v>
      </c>
      <c r="I12" s="4">
        <v>45455</v>
      </c>
      <c r="J12" s="20">
        <f t="shared" si="0"/>
        <v>58</v>
      </c>
    </row>
    <row r="13" spans="1:11" hidden="1" x14ac:dyDescent="0.15">
      <c r="A13" s="2">
        <v>2</v>
      </c>
      <c r="B13" s="1" t="s">
        <v>14</v>
      </c>
      <c r="C13" s="1" t="s">
        <v>15</v>
      </c>
      <c r="D13" s="1" t="s">
        <v>16</v>
      </c>
      <c r="E13" s="3">
        <v>350000</v>
      </c>
      <c r="F13" s="3">
        <v>340000</v>
      </c>
      <c r="G13" s="18">
        <f>F13/E13</f>
        <v>0.97142857142857142</v>
      </c>
      <c r="H13" s="5">
        <v>45383</v>
      </c>
      <c r="I13" s="4">
        <v>45455</v>
      </c>
      <c r="J13" s="20">
        <f t="shared" si="0"/>
        <v>72</v>
      </c>
    </row>
    <row r="14" spans="1:11" x14ac:dyDescent="0.15">
      <c r="A14" s="2">
        <v>17</v>
      </c>
      <c r="B14" s="1" t="s">
        <v>37</v>
      </c>
      <c r="C14" s="1" t="s">
        <v>24</v>
      </c>
      <c r="D14" s="1" t="s">
        <v>27</v>
      </c>
      <c r="E14" s="3">
        <v>345000</v>
      </c>
      <c r="F14" s="3">
        <v>339999</v>
      </c>
      <c r="G14" s="18">
        <f>F14/E14</f>
        <v>0.98550434782608698</v>
      </c>
      <c r="H14" s="4">
        <v>45400</v>
      </c>
      <c r="I14" s="4">
        <v>45442</v>
      </c>
      <c r="J14" s="20">
        <f t="shared" si="0"/>
        <v>42</v>
      </c>
    </row>
    <row r="15" spans="1:11" hidden="1" x14ac:dyDescent="0.15">
      <c r="A15" s="2">
        <v>78</v>
      </c>
      <c r="B15" s="1" t="s">
        <v>103</v>
      </c>
      <c r="C15" s="1" t="s">
        <v>15</v>
      </c>
      <c r="D15" s="1" t="s">
        <v>16</v>
      </c>
      <c r="E15" s="3">
        <v>400000</v>
      </c>
      <c r="F15" s="3">
        <v>400000</v>
      </c>
      <c r="G15" s="18">
        <f>F15/E15</f>
        <v>1</v>
      </c>
      <c r="H15" s="4">
        <v>45473</v>
      </c>
      <c r="I15" s="4">
        <v>45597</v>
      </c>
      <c r="J15" s="20">
        <f t="shared" si="0"/>
        <v>124</v>
      </c>
    </row>
    <row r="16" spans="1:11" hidden="1" x14ac:dyDescent="0.15">
      <c r="A16" s="2">
        <v>14</v>
      </c>
      <c r="B16" s="1" t="s">
        <v>33</v>
      </c>
      <c r="C16" s="1" t="s">
        <v>15</v>
      </c>
      <c r="D16" s="1" t="s">
        <v>16</v>
      </c>
      <c r="E16" s="3">
        <v>314250</v>
      </c>
      <c r="F16" s="3">
        <v>304000</v>
      </c>
      <c r="G16" s="18">
        <f>F16/E16</f>
        <v>0.96738265712012728</v>
      </c>
      <c r="H16" s="4">
        <v>45395</v>
      </c>
      <c r="I16" s="4">
        <v>45476</v>
      </c>
      <c r="J16" s="20">
        <f t="shared" si="0"/>
        <v>81</v>
      </c>
    </row>
    <row r="17" spans="1:10" x14ac:dyDescent="0.15">
      <c r="A17" s="2">
        <v>20</v>
      </c>
      <c r="B17" s="1" t="s">
        <v>41</v>
      </c>
      <c r="C17" s="1" t="s">
        <v>24</v>
      </c>
      <c r="D17" s="1" t="s">
        <v>27</v>
      </c>
      <c r="E17" s="3">
        <v>325000</v>
      </c>
      <c r="F17" s="3">
        <v>308750</v>
      </c>
      <c r="G17" s="18">
        <f>F17/E17</f>
        <v>0.95</v>
      </c>
      <c r="H17" s="4">
        <v>45401</v>
      </c>
      <c r="I17" s="4">
        <v>45509</v>
      </c>
      <c r="J17" s="20">
        <f t="shared" si="0"/>
        <v>108</v>
      </c>
    </row>
    <row r="18" spans="1:10" x14ac:dyDescent="0.15">
      <c r="A18" s="2">
        <v>65</v>
      </c>
      <c r="B18" s="1" t="s">
        <v>90</v>
      </c>
      <c r="C18" s="1" t="s">
        <v>24</v>
      </c>
      <c r="D18" s="1" t="s">
        <v>27</v>
      </c>
      <c r="E18" s="3">
        <v>189900</v>
      </c>
      <c r="F18" s="3">
        <v>186102</v>
      </c>
      <c r="G18" s="18">
        <f>F18/E18</f>
        <v>0.98</v>
      </c>
      <c r="H18" s="4">
        <v>45449</v>
      </c>
      <c r="I18" s="4">
        <v>45580</v>
      </c>
      <c r="J18" s="20">
        <f t="shared" si="0"/>
        <v>131</v>
      </c>
    </row>
    <row r="19" spans="1:10" hidden="1" x14ac:dyDescent="0.15">
      <c r="A19" s="2">
        <v>55</v>
      </c>
      <c r="B19" s="1" t="s">
        <v>79</v>
      </c>
      <c r="C19" s="1" t="s">
        <v>15</v>
      </c>
      <c r="D19" s="1" t="s">
        <v>16</v>
      </c>
      <c r="E19" s="3">
        <v>315250</v>
      </c>
      <c r="F19" s="3">
        <v>300000</v>
      </c>
      <c r="G19" s="18">
        <f>F19/E19</f>
        <v>0.95162569389373508</v>
      </c>
      <c r="H19" s="4">
        <v>45440</v>
      </c>
      <c r="I19" s="4">
        <v>45473</v>
      </c>
      <c r="J19" s="20">
        <f t="shared" si="0"/>
        <v>33</v>
      </c>
    </row>
    <row r="20" spans="1:10" hidden="1" x14ac:dyDescent="0.15">
      <c r="A20" s="2">
        <v>60</v>
      </c>
      <c r="B20" s="1" t="s">
        <v>85</v>
      </c>
      <c r="C20" s="1" t="s">
        <v>15</v>
      </c>
      <c r="D20" s="1" t="s">
        <v>16</v>
      </c>
      <c r="E20" s="3">
        <v>345000</v>
      </c>
      <c r="F20" s="3">
        <v>330000</v>
      </c>
      <c r="G20" s="18">
        <f>F20/E20</f>
        <v>0.95652173913043481</v>
      </c>
      <c r="H20" s="4">
        <v>45444</v>
      </c>
      <c r="I20" s="4">
        <v>45466</v>
      </c>
      <c r="J20" s="20">
        <f t="shared" si="0"/>
        <v>22</v>
      </c>
    </row>
    <row r="21" spans="1:10" hidden="1" x14ac:dyDescent="0.15">
      <c r="A21" s="2">
        <v>49</v>
      </c>
      <c r="B21" s="1" t="s">
        <v>73</v>
      </c>
      <c r="C21" s="1" t="s">
        <v>20</v>
      </c>
      <c r="D21" s="1" t="s">
        <v>16</v>
      </c>
      <c r="E21" s="3">
        <v>180000</v>
      </c>
      <c r="F21" s="3">
        <v>175000</v>
      </c>
      <c r="G21" s="18">
        <f>F21/E21</f>
        <v>0.97222222222222221</v>
      </c>
      <c r="H21" s="4">
        <v>45435</v>
      </c>
      <c r="I21" s="4">
        <v>45412</v>
      </c>
      <c r="J21" s="20">
        <f t="shared" si="0"/>
        <v>-23</v>
      </c>
    </row>
    <row r="22" spans="1:10" x14ac:dyDescent="0.15">
      <c r="A22" s="2">
        <v>69</v>
      </c>
      <c r="B22" s="1" t="s">
        <v>94</v>
      </c>
      <c r="C22" s="1" t="s">
        <v>24</v>
      </c>
      <c r="D22" s="1" t="s">
        <v>27</v>
      </c>
      <c r="E22" s="3">
        <v>589000</v>
      </c>
      <c r="F22" s="3">
        <v>575000</v>
      </c>
      <c r="G22" s="18">
        <f>F22/E22</f>
        <v>0.97623089983022071</v>
      </c>
      <c r="H22" s="4">
        <v>45461</v>
      </c>
      <c r="I22" s="4">
        <v>45473</v>
      </c>
      <c r="J22" s="20">
        <f t="shared" si="0"/>
        <v>12</v>
      </c>
    </row>
    <row r="23" spans="1:10" hidden="1" x14ac:dyDescent="0.15">
      <c r="A23" s="2">
        <v>53</v>
      </c>
      <c r="B23" s="1" t="s">
        <v>77</v>
      </c>
      <c r="C23" s="1" t="s">
        <v>20</v>
      </c>
      <c r="D23" s="1" t="s">
        <v>18</v>
      </c>
      <c r="E23" s="3">
        <v>215000</v>
      </c>
      <c r="F23" s="3">
        <v>195000</v>
      </c>
      <c r="G23" s="18">
        <f>F23/E23</f>
        <v>0.90697674418604646</v>
      </c>
      <c r="H23" s="4">
        <v>45440</v>
      </c>
      <c r="I23" s="4">
        <v>45475</v>
      </c>
      <c r="J23" s="20">
        <f t="shared" si="0"/>
        <v>35</v>
      </c>
    </row>
    <row r="24" spans="1:10" hidden="1" x14ac:dyDescent="0.15">
      <c r="A24" s="2">
        <v>13</v>
      </c>
      <c r="B24" s="1" t="s">
        <v>32</v>
      </c>
      <c r="C24" s="1" t="s">
        <v>20</v>
      </c>
      <c r="D24" s="1" t="s">
        <v>18</v>
      </c>
      <c r="E24" s="3">
        <v>110000</v>
      </c>
      <c r="F24" s="3">
        <v>106000</v>
      </c>
      <c r="G24" s="18">
        <f>F24/E24</f>
        <v>0.96363636363636362</v>
      </c>
      <c r="H24" s="4">
        <v>45394</v>
      </c>
      <c r="I24" s="4">
        <v>45475</v>
      </c>
      <c r="J24" s="20">
        <f t="shared" si="0"/>
        <v>81</v>
      </c>
    </row>
    <row r="25" spans="1:10" hidden="1" x14ac:dyDescent="0.15">
      <c r="A25" s="2">
        <v>80</v>
      </c>
      <c r="B25" s="1" t="s">
        <v>105</v>
      </c>
      <c r="C25" s="1" t="s">
        <v>15</v>
      </c>
      <c r="D25" s="1" t="s">
        <v>18</v>
      </c>
      <c r="E25" s="3">
        <v>380500</v>
      </c>
      <c r="F25" s="3">
        <v>365000</v>
      </c>
      <c r="G25" s="18">
        <f>F25/E25</f>
        <v>0.95926412614980294</v>
      </c>
      <c r="H25" s="4">
        <v>45473</v>
      </c>
      <c r="I25" s="4">
        <v>45444</v>
      </c>
      <c r="J25" s="20">
        <f t="shared" si="0"/>
        <v>-29</v>
      </c>
    </row>
    <row r="26" spans="1:10" x14ac:dyDescent="0.15">
      <c r="A26" s="2">
        <v>44</v>
      </c>
      <c r="B26" s="1" t="s">
        <v>67</v>
      </c>
      <c r="C26" s="1" t="s">
        <v>24</v>
      </c>
      <c r="D26" s="1" t="s">
        <v>49</v>
      </c>
      <c r="E26" s="3">
        <v>1250000</v>
      </c>
      <c r="F26" s="3">
        <v>1225000</v>
      </c>
      <c r="G26" s="18">
        <f>F26/E26</f>
        <v>0.98</v>
      </c>
      <c r="H26" s="4">
        <v>45424</v>
      </c>
      <c r="I26" s="4">
        <v>45440</v>
      </c>
      <c r="J26" s="20">
        <f t="shared" si="0"/>
        <v>16</v>
      </c>
    </row>
    <row r="27" spans="1:10" hidden="1" x14ac:dyDescent="0.15">
      <c r="A27" s="2">
        <v>3</v>
      </c>
      <c r="B27" s="1" t="s">
        <v>17</v>
      </c>
      <c r="C27" s="1" t="s">
        <v>15</v>
      </c>
      <c r="D27" s="1" t="s">
        <v>18</v>
      </c>
      <c r="E27" s="3">
        <v>418000</v>
      </c>
      <c r="F27" s="3">
        <v>400000</v>
      </c>
      <c r="G27" s="18">
        <f>F27/E27</f>
        <v>0.9569377990430622</v>
      </c>
      <c r="H27" s="5">
        <v>45383</v>
      </c>
      <c r="I27" s="4">
        <v>45446</v>
      </c>
      <c r="J27" s="20">
        <f t="shared" si="0"/>
        <v>63</v>
      </c>
    </row>
    <row r="28" spans="1:10" hidden="1" x14ac:dyDescent="0.15">
      <c r="A28" s="2">
        <v>19</v>
      </c>
      <c r="B28" s="1" t="s">
        <v>40</v>
      </c>
      <c r="C28" s="1" t="s">
        <v>15</v>
      </c>
      <c r="D28" s="1" t="s">
        <v>18</v>
      </c>
      <c r="E28" s="3">
        <v>425000</v>
      </c>
      <c r="F28" s="3">
        <v>415000</v>
      </c>
      <c r="G28" s="18">
        <f>F28/E28</f>
        <v>0.97647058823529409</v>
      </c>
      <c r="H28" s="4">
        <v>45400</v>
      </c>
      <c r="I28" s="4">
        <v>45550</v>
      </c>
      <c r="J28" s="20">
        <f t="shared" si="0"/>
        <v>150</v>
      </c>
    </row>
    <row r="29" spans="1:10" x14ac:dyDescent="0.15">
      <c r="A29" s="2">
        <v>27</v>
      </c>
      <c r="B29" s="1" t="s">
        <v>48</v>
      </c>
      <c r="C29" s="1" t="s">
        <v>24</v>
      </c>
      <c r="D29" s="1" t="s">
        <v>49</v>
      </c>
      <c r="E29" s="3">
        <v>400000</v>
      </c>
      <c r="F29" s="3">
        <v>375000</v>
      </c>
      <c r="G29" s="18">
        <f>F29/E29</f>
        <v>0.9375</v>
      </c>
      <c r="H29" s="4">
        <v>45412</v>
      </c>
      <c r="I29" s="4">
        <v>45536</v>
      </c>
      <c r="J29" s="20">
        <f t="shared" si="0"/>
        <v>124</v>
      </c>
    </row>
    <row r="30" spans="1:10" hidden="1" x14ac:dyDescent="0.15">
      <c r="A30" s="2">
        <v>45</v>
      </c>
      <c r="B30" s="1" t="s">
        <v>68</v>
      </c>
      <c r="C30" s="1" t="s">
        <v>15</v>
      </c>
      <c r="D30" s="1" t="s">
        <v>18</v>
      </c>
      <c r="E30" s="3">
        <v>365750</v>
      </c>
      <c r="F30" s="3">
        <v>355000</v>
      </c>
      <c r="G30" s="18">
        <f>F30/E30</f>
        <v>0.9706083390293917</v>
      </c>
      <c r="H30" s="4">
        <v>45425</v>
      </c>
      <c r="I30" s="4">
        <v>45529</v>
      </c>
      <c r="J30" s="20">
        <f t="shared" si="0"/>
        <v>104</v>
      </c>
    </row>
    <row r="31" spans="1:10" x14ac:dyDescent="0.15">
      <c r="A31" s="2">
        <v>50</v>
      </c>
      <c r="B31" s="1" t="s">
        <v>74</v>
      </c>
      <c r="C31" s="1" t="s">
        <v>24</v>
      </c>
      <c r="D31" s="1" t="s">
        <v>55</v>
      </c>
      <c r="E31" s="3">
        <v>310000</v>
      </c>
      <c r="F31" s="3">
        <v>291400</v>
      </c>
      <c r="G31" s="18">
        <f>F31/E31</f>
        <v>0.94</v>
      </c>
      <c r="H31" s="4">
        <v>45434</v>
      </c>
      <c r="I31" s="4">
        <v>45462</v>
      </c>
      <c r="J31" s="20">
        <f t="shared" si="0"/>
        <v>28</v>
      </c>
    </row>
    <row r="32" spans="1:10" hidden="1" x14ac:dyDescent="0.15">
      <c r="A32" s="2">
        <v>43</v>
      </c>
      <c r="B32" s="1" t="s">
        <v>66</v>
      </c>
      <c r="C32" s="1" t="s">
        <v>15</v>
      </c>
      <c r="D32" s="1" t="s">
        <v>18</v>
      </c>
      <c r="E32" s="3">
        <v>375000</v>
      </c>
      <c r="F32" s="3">
        <v>376000</v>
      </c>
      <c r="G32" s="18">
        <f>F32/E32</f>
        <v>1.0026666666666666</v>
      </c>
      <c r="H32" s="4">
        <v>45418</v>
      </c>
      <c r="I32" s="4">
        <v>45566</v>
      </c>
      <c r="J32" s="20">
        <f t="shared" si="0"/>
        <v>148</v>
      </c>
    </row>
    <row r="33" spans="1:10" hidden="1" x14ac:dyDescent="0.15">
      <c r="A33" s="2">
        <v>66</v>
      </c>
      <c r="B33" s="1" t="s">
        <v>91</v>
      </c>
      <c r="C33" s="1" t="s">
        <v>15</v>
      </c>
      <c r="D33" s="1" t="s">
        <v>18</v>
      </c>
      <c r="E33" s="3">
        <v>335000</v>
      </c>
      <c r="F33" s="3">
        <v>330000</v>
      </c>
      <c r="G33" s="18">
        <f>F33/E33</f>
        <v>0.9850746268656716</v>
      </c>
      <c r="H33" s="4">
        <v>45453</v>
      </c>
      <c r="I33" s="4">
        <v>45474</v>
      </c>
      <c r="J33" s="20">
        <f t="shared" si="0"/>
        <v>21</v>
      </c>
    </row>
    <row r="34" spans="1:10" hidden="1" x14ac:dyDescent="0.15">
      <c r="A34" s="2">
        <v>25</v>
      </c>
      <c r="B34" s="1" t="s">
        <v>46</v>
      </c>
      <c r="C34" s="1" t="s">
        <v>15</v>
      </c>
      <c r="D34" s="1" t="s">
        <v>18</v>
      </c>
      <c r="E34" s="3">
        <v>250000</v>
      </c>
      <c r="F34" s="3">
        <v>232000</v>
      </c>
      <c r="G34" s="18">
        <f>F34/E34</f>
        <v>0.92800000000000005</v>
      </c>
      <c r="H34" s="4">
        <v>45411</v>
      </c>
      <c r="I34" s="4">
        <v>45461</v>
      </c>
      <c r="J34" s="20">
        <f t="shared" si="0"/>
        <v>50</v>
      </c>
    </row>
    <row r="35" spans="1:10" hidden="1" x14ac:dyDescent="0.15">
      <c r="A35" s="2">
        <v>5</v>
      </c>
      <c r="B35" s="1" t="s">
        <v>22</v>
      </c>
      <c r="C35" s="1" t="s">
        <v>15</v>
      </c>
      <c r="D35" s="1" t="s">
        <v>18</v>
      </c>
      <c r="E35" s="3">
        <v>385900</v>
      </c>
      <c r="F35" s="3">
        <v>385900</v>
      </c>
      <c r="G35" s="18">
        <f>F35/E35</f>
        <v>1</v>
      </c>
      <c r="H35" s="5">
        <v>45383</v>
      </c>
      <c r="I35" s="4">
        <v>45461</v>
      </c>
      <c r="J35" s="20">
        <f t="shared" si="0"/>
        <v>78</v>
      </c>
    </row>
    <row r="36" spans="1:10" x14ac:dyDescent="0.15">
      <c r="A36" s="2">
        <v>73</v>
      </c>
      <c r="B36" s="1" t="s">
        <v>98</v>
      </c>
      <c r="C36" s="1" t="s">
        <v>12</v>
      </c>
      <c r="D36" s="1" t="s">
        <v>16</v>
      </c>
      <c r="E36" s="3">
        <v>555000</v>
      </c>
      <c r="F36" s="3">
        <v>565000</v>
      </c>
      <c r="G36" s="18">
        <f>F36/E36</f>
        <v>1.0180180180180181</v>
      </c>
      <c r="H36" s="4">
        <v>45467</v>
      </c>
      <c r="I36" s="4">
        <v>45417</v>
      </c>
      <c r="J36" s="20">
        <f t="shared" si="0"/>
        <v>-50</v>
      </c>
    </row>
    <row r="37" spans="1:10" x14ac:dyDescent="0.15">
      <c r="A37" s="2">
        <v>46</v>
      </c>
      <c r="B37" s="1" t="s">
        <v>69</v>
      </c>
      <c r="C37" s="1" t="s">
        <v>12</v>
      </c>
      <c r="D37" s="1" t="s">
        <v>16</v>
      </c>
      <c r="E37" s="3">
        <v>650000</v>
      </c>
      <c r="F37" s="3">
        <v>598000</v>
      </c>
      <c r="G37" s="18">
        <f>F37/E37</f>
        <v>0.92</v>
      </c>
      <c r="H37" s="4">
        <v>45427</v>
      </c>
      <c r="I37" s="4">
        <v>45449</v>
      </c>
      <c r="J37" s="20">
        <f t="shared" si="0"/>
        <v>22</v>
      </c>
    </row>
    <row r="38" spans="1:10" hidden="1" x14ac:dyDescent="0.15">
      <c r="A38" s="2">
        <v>58</v>
      </c>
      <c r="B38" s="1" t="s">
        <v>82</v>
      </c>
      <c r="C38" s="1" t="s">
        <v>15</v>
      </c>
      <c r="D38" s="1" t="s">
        <v>83</v>
      </c>
      <c r="E38" s="3">
        <v>316000</v>
      </c>
      <c r="F38" s="3">
        <v>316000</v>
      </c>
      <c r="G38" s="18">
        <f>F38/E38</f>
        <v>1</v>
      </c>
      <c r="H38" s="4">
        <v>45443</v>
      </c>
      <c r="I38" s="4">
        <v>45489</v>
      </c>
      <c r="J38" s="20">
        <f t="shared" si="0"/>
        <v>46</v>
      </c>
    </row>
    <row r="39" spans="1:10" x14ac:dyDescent="0.15">
      <c r="A39" s="2">
        <v>34</v>
      </c>
      <c r="B39" s="1" t="s">
        <v>57</v>
      </c>
      <c r="C39" s="1" t="s">
        <v>12</v>
      </c>
      <c r="D39" s="1" t="s">
        <v>16</v>
      </c>
      <c r="E39" s="3">
        <v>410000</v>
      </c>
      <c r="F39" s="3">
        <v>397700</v>
      </c>
      <c r="G39" s="18">
        <f>F39/E39</f>
        <v>0.97</v>
      </c>
      <c r="H39" s="4">
        <v>45413</v>
      </c>
      <c r="I39" s="4">
        <v>45469</v>
      </c>
      <c r="J39" s="20">
        <f t="shared" si="0"/>
        <v>56</v>
      </c>
    </row>
    <row r="40" spans="1:10" hidden="1" x14ac:dyDescent="0.15">
      <c r="A40" s="2">
        <v>11</v>
      </c>
      <c r="B40" s="1" t="s">
        <v>30</v>
      </c>
      <c r="C40" s="1" t="s">
        <v>15</v>
      </c>
      <c r="D40" s="1" t="s">
        <v>13</v>
      </c>
      <c r="E40" s="3">
        <v>325000</v>
      </c>
      <c r="F40" s="3">
        <v>320000</v>
      </c>
      <c r="G40" s="18">
        <f>F40/E40</f>
        <v>0.98461538461538467</v>
      </c>
      <c r="H40" s="4">
        <v>45394</v>
      </c>
      <c r="I40" s="4">
        <v>45442</v>
      </c>
      <c r="J40" s="20">
        <f t="shared" si="0"/>
        <v>48</v>
      </c>
    </row>
    <row r="41" spans="1:10" x14ac:dyDescent="0.15">
      <c r="A41" s="2">
        <v>56</v>
      </c>
      <c r="B41" s="1" t="s">
        <v>80</v>
      </c>
      <c r="C41" s="1" t="s">
        <v>12</v>
      </c>
      <c r="D41" s="1" t="s">
        <v>16</v>
      </c>
      <c r="E41" s="3">
        <v>475000</v>
      </c>
      <c r="F41" s="3">
        <v>450000</v>
      </c>
      <c r="G41" s="18">
        <f>F41/E41</f>
        <v>0.94736842105263153</v>
      </c>
      <c r="H41" s="4">
        <v>45443</v>
      </c>
      <c r="I41" s="4">
        <v>45565</v>
      </c>
      <c r="J41" s="20">
        <f t="shared" si="0"/>
        <v>122</v>
      </c>
    </row>
    <row r="42" spans="1:10" hidden="1" x14ac:dyDescent="0.15">
      <c r="A42" s="2">
        <v>21</v>
      </c>
      <c r="B42" s="1" t="s">
        <v>42</v>
      </c>
      <c r="C42" s="1" t="s">
        <v>20</v>
      </c>
      <c r="D42" s="1" t="s">
        <v>13</v>
      </c>
      <c r="E42" s="3">
        <v>325000</v>
      </c>
      <c r="F42" s="3">
        <v>302250</v>
      </c>
      <c r="G42" s="18">
        <f>F42/E42</f>
        <v>0.93</v>
      </c>
      <c r="H42" s="4">
        <v>45410</v>
      </c>
      <c r="I42" s="4">
        <v>45489</v>
      </c>
      <c r="J42" s="20">
        <f t="shared" si="0"/>
        <v>79</v>
      </c>
    </row>
    <row r="43" spans="1:10" hidden="1" x14ac:dyDescent="0.15">
      <c r="A43" s="2">
        <v>39</v>
      </c>
      <c r="B43" s="1" t="s">
        <v>62</v>
      </c>
      <c r="C43" s="1" t="s">
        <v>20</v>
      </c>
      <c r="D43" s="1" t="s">
        <v>13</v>
      </c>
      <c r="E43" s="3">
        <v>450000</v>
      </c>
      <c r="F43" s="3">
        <v>382500</v>
      </c>
      <c r="G43" s="18">
        <f>F43/E43</f>
        <v>0.85</v>
      </c>
      <c r="H43" s="4">
        <v>45417</v>
      </c>
      <c r="I43" s="4">
        <v>45558</v>
      </c>
      <c r="J43" s="20">
        <f t="shared" si="0"/>
        <v>141</v>
      </c>
    </row>
    <row r="44" spans="1:10" x14ac:dyDescent="0.15">
      <c r="A44" s="2">
        <v>71</v>
      </c>
      <c r="B44" s="1" t="s">
        <v>96</v>
      </c>
      <c r="C44" s="1" t="s">
        <v>12</v>
      </c>
      <c r="D44" s="1" t="s">
        <v>13</v>
      </c>
      <c r="E44" s="3">
        <v>254500</v>
      </c>
      <c r="F44" s="3">
        <v>236685</v>
      </c>
      <c r="G44" s="18">
        <f>F44/E44</f>
        <v>0.93</v>
      </c>
      <c r="H44" s="4">
        <v>45466</v>
      </c>
      <c r="I44" s="4">
        <v>45459</v>
      </c>
      <c r="J44" s="20">
        <f t="shared" si="0"/>
        <v>-7</v>
      </c>
    </row>
    <row r="45" spans="1:10" hidden="1" x14ac:dyDescent="0.15">
      <c r="A45" s="2">
        <v>30</v>
      </c>
      <c r="B45" s="1" t="s">
        <v>52</v>
      </c>
      <c r="C45" s="1" t="s">
        <v>20</v>
      </c>
      <c r="D45" s="1" t="s">
        <v>13</v>
      </c>
      <c r="E45" s="3">
        <v>250000</v>
      </c>
      <c r="F45" s="3">
        <v>255000</v>
      </c>
      <c r="G45" s="18">
        <f>F45/E45</f>
        <v>1.02</v>
      </c>
      <c r="H45" s="4">
        <v>45413</v>
      </c>
      <c r="I45" s="4">
        <v>45565</v>
      </c>
      <c r="J45" s="20">
        <f t="shared" si="0"/>
        <v>152</v>
      </c>
    </row>
    <row r="46" spans="1:10" x14ac:dyDescent="0.15">
      <c r="A46" s="2">
        <v>35</v>
      </c>
      <c r="B46" s="1" t="s">
        <v>58</v>
      </c>
      <c r="C46" s="1" t="s">
        <v>12</v>
      </c>
      <c r="D46" s="1" t="s">
        <v>13</v>
      </c>
      <c r="E46" s="3">
        <v>560700</v>
      </c>
      <c r="F46" s="3">
        <v>550000</v>
      </c>
      <c r="G46" s="18">
        <f>F46/E46</f>
        <v>0.98091671125378987</v>
      </c>
      <c r="H46" s="4">
        <v>45413</v>
      </c>
      <c r="I46" s="4">
        <v>45565</v>
      </c>
      <c r="J46" s="20">
        <f t="shared" si="0"/>
        <v>152</v>
      </c>
    </row>
    <row r="47" spans="1:10" hidden="1" x14ac:dyDescent="0.15">
      <c r="A47" s="2">
        <v>70</v>
      </c>
      <c r="B47" s="1" t="s">
        <v>95</v>
      </c>
      <c r="C47" s="1" t="s">
        <v>15</v>
      </c>
      <c r="D47" s="1" t="s">
        <v>13</v>
      </c>
      <c r="E47" s="3">
        <v>345670</v>
      </c>
      <c r="F47" s="3">
        <v>345000</v>
      </c>
      <c r="G47" s="18">
        <f>F47/E47</f>
        <v>0.99806173518095298</v>
      </c>
      <c r="H47" s="4">
        <v>45463</v>
      </c>
      <c r="I47" s="4">
        <v>45611</v>
      </c>
      <c r="J47" s="20">
        <f t="shared" si="0"/>
        <v>148</v>
      </c>
    </row>
    <row r="48" spans="1:10" x14ac:dyDescent="0.15">
      <c r="A48" s="2">
        <v>1</v>
      </c>
      <c r="B48" s="1" t="s">
        <v>11</v>
      </c>
      <c r="C48" s="1" t="s">
        <v>12</v>
      </c>
      <c r="D48" s="1" t="s">
        <v>13</v>
      </c>
      <c r="E48" s="3">
        <v>725000</v>
      </c>
      <c r="F48" s="3">
        <v>645250</v>
      </c>
      <c r="G48" s="18">
        <f>F48/E48</f>
        <v>0.89</v>
      </c>
      <c r="H48" s="5">
        <v>45383</v>
      </c>
      <c r="I48" s="4">
        <v>45597</v>
      </c>
      <c r="J48" s="20">
        <f t="shared" si="0"/>
        <v>214</v>
      </c>
    </row>
    <row r="49" spans="1:10" x14ac:dyDescent="0.15">
      <c r="A49" s="2">
        <v>37</v>
      </c>
      <c r="B49" s="1" t="s">
        <v>60</v>
      </c>
      <c r="C49" s="1" t="s">
        <v>12</v>
      </c>
      <c r="D49" s="1" t="s">
        <v>21</v>
      </c>
      <c r="E49" s="3">
        <v>395000</v>
      </c>
      <c r="F49" s="3">
        <v>380000</v>
      </c>
      <c r="G49" s="18">
        <f>F49/E49</f>
        <v>0.96202531645569622</v>
      </c>
      <c r="H49" s="4">
        <v>45417</v>
      </c>
      <c r="I49" s="4">
        <v>45427</v>
      </c>
      <c r="J49" s="20">
        <f t="shared" si="0"/>
        <v>10</v>
      </c>
    </row>
    <row r="50" spans="1:10" x14ac:dyDescent="0.15">
      <c r="A50" s="2">
        <v>68</v>
      </c>
      <c r="B50" s="1" t="s">
        <v>93</v>
      </c>
      <c r="C50" s="1" t="s">
        <v>12</v>
      </c>
      <c r="D50" s="1" t="s">
        <v>21</v>
      </c>
      <c r="E50" s="3">
        <v>275000</v>
      </c>
      <c r="F50" s="3">
        <v>264000</v>
      </c>
      <c r="G50" s="18">
        <f>F50/E50</f>
        <v>0.96</v>
      </c>
      <c r="H50" s="4">
        <v>45456</v>
      </c>
      <c r="I50" s="4">
        <v>45449</v>
      </c>
      <c r="J50" s="20">
        <f t="shared" si="0"/>
        <v>-7</v>
      </c>
    </row>
    <row r="51" spans="1:10" x14ac:dyDescent="0.15">
      <c r="A51" s="2">
        <v>59</v>
      </c>
      <c r="B51" s="1" t="s">
        <v>84</v>
      </c>
      <c r="C51" s="1" t="s">
        <v>12</v>
      </c>
      <c r="D51" s="1" t="s">
        <v>35</v>
      </c>
      <c r="E51" s="3">
        <v>289900</v>
      </c>
      <c r="F51" s="3">
        <v>279000</v>
      </c>
      <c r="G51" s="18">
        <f>F51/E51</f>
        <v>0.96240082787167991</v>
      </c>
      <c r="H51" s="4">
        <v>45443</v>
      </c>
      <c r="I51" s="4">
        <v>45519</v>
      </c>
      <c r="J51" s="20">
        <f t="shared" si="0"/>
        <v>76</v>
      </c>
    </row>
    <row r="52" spans="1:10" x14ac:dyDescent="0.15">
      <c r="A52" s="2">
        <v>81</v>
      </c>
      <c r="B52" s="1" t="s">
        <v>106</v>
      </c>
      <c r="C52" s="1" t="s">
        <v>12</v>
      </c>
      <c r="D52" s="1" t="s">
        <v>55</v>
      </c>
      <c r="E52" s="3">
        <v>245900</v>
      </c>
      <c r="F52" s="3">
        <v>233605</v>
      </c>
      <c r="G52" s="18">
        <f>F52/E52</f>
        <v>0.95</v>
      </c>
      <c r="H52" s="4">
        <v>45473</v>
      </c>
      <c r="I52" s="4">
        <v>45452</v>
      </c>
      <c r="J52" s="20">
        <f t="shared" si="0"/>
        <v>-21</v>
      </c>
    </row>
    <row r="53" spans="1:10" hidden="1" x14ac:dyDescent="0.15">
      <c r="A53" s="2">
        <v>4</v>
      </c>
      <c r="B53" s="1" t="s">
        <v>19</v>
      </c>
      <c r="C53" s="1" t="s">
        <v>20</v>
      </c>
      <c r="D53" s="1" t="s">
        <v>21</v>
      </c>
      <c r="E53" s="3">
        <v>215800</v>
      </c>
      <c r="F53" s="3">
        <v>200000</v>
      </c>
      <c r="G53" s="18">
        <f>F53/E53</f>
        <v>0.92678405931417984</v>
      </c>
      <c r="H53" s="5">
        <v>45383</v>
      </c>
      <c r="I53" s="4">
        <v>45443</v>
      </c>
      <c r="J53" s="20">
        <f t="shared" si="0"/>
        <v>60</v>
      </c>
    </row>
    <row r="54" spans="1:10" hidden="1" x14ac:dyDescent="0.15">
      <c r="A54" s="2">
        <v>7</v>
      </c>
      <c r="B54" s="1" t="s">
        <v>25</v>
      </c>
      <c r="C54" s="1" t="s">
        <v>20</v>
      </c>
      <c r="D54" s="1" t="s">
        <v>21</v>
      </c>
      <c r="E54" s="3">
        <v>300000</v>
      </c>
      <c r="F54" s="3">
        <v>290000</v>
      </c>
      <c r="G54" s="18">
        <f>F54/E54</f>
        <v>0.96666666666666667</v>
      </c>
      <c r="H54" s="4">
        <v>45385</v>
      </c>
      <c r="I54" s="4">
        <v>45459</v>
      </c>
      <c r="J54" s="20">
        <f t="shared" si="0"/>
        <v>74</v>
      </c>
    </row>
    <row r="55" spans="1:10" hidden="1" x14ac:dyDescent="0.15">
      <c r="A55" s="2">
        <v>24</v>
      </c>
      <c r="B55" s="1" t="s">
        <v>45</v>
      </c>
      <c r="C55" s="1" t="s">
        <v>15</v>
      </c>
      <c r="D55" s="1" t="s">
        <v>21</v>
      </c>
      <c r="E55" s="3">
        <v>425815</v>
      </c>
      <c r="F55" s="3">
        <v>400000</v>
      </c>
      <c r="G55" s="18">
        <f>F55/E55</f>
        <v>0.93937508072754605</v>
      </c>
      <c r="H55" s="4">
        <v>45410</v>
      </c>
      <c r="I55" s="4">
        <v>45488</v>
      </c>
      <c r="J55" s="20">
        <f t="shared" si="0"/>
        <v>78</v>
      </c>
    </row>
    <row r="56" spans="1:10" x14ac:dyDescent="0.15">
      <c r="A56" s="2">
        <v>32</v>
      </c>
      <c r="B56" s="1" t="s">
        <v>54</v>
      </c>
      <c r="C56" s="1" t="s">
        <v>12</v>
      </c>
      <c r="D56" s="1" t="s">
        <v>55</v>
      </c>
      <c r="E56" s="3">
        <v>185500</v>
      </c>
      <c r="F56" s="3">
        <v>179000</v>
      </c>
      <c r="G56" s="18">
        <f>F56/E56</f>
        <v>0.96495956873315369</v>
      </c>
      <c r="H56" s="4">
        <v>45413</v>
      </c>
      <c r="I56" s="4">
        <v>45472</v>
      </c>
      <c r="J56" s="20">
        <f t="shared" si="0"/>
        <v>59</v>
      </c>
    </row>
    <row r="57" spans="1:10" x14ac:dyDescent="0.15">
      <c r="A57" s="2">
        <v>54</v>
      </c>
      <c r="B57" s="1" t="s">
        <v>78</v>
      </c>
      <c r="C57" s="1" t="s">
        <v>39</v>
      </c>
      <c r="D57" s="1" t="s">
        <v>72</v>
      </c>
      <c r="E57" s="3">
        <v>450000</v>
      </c>
      <c r="F57" s="3">
        <v>400000</v>
      </c>
      <c r="G57" s="18">
        <f>F57/E57</f>
        <v>0.88888888888888884</v>
      </c>
      <c r="H57" s="4">
        <v>45440</v>
      </c>
      <c r="I57" s="4">
        <v>45472</v>
      </c>
      <c r="J57" s="20">
        <f t="shared" si="0"/>
        <v>32</v>
      </c>
    </row>
    <row r="58" spans="1:10" hidden="1" x14ac:dyDescent="0.15">
      <c r="A58" s="2">
        <v>15</v>
      </c>
      <c r="B58" s="1" t="s">
        <v>34</v>
      </c>
      <c r="C58" s="1" t="s">
        <v>15</v>
      </c>
      <c r="D58" s="1" t="s">
        <v>35</v>
      </c>
      <c r="E58" s="3">
        <v>555000</v>
      </c>
      <c r="F58" s="3">
        <v>500000</v>
      </c>
      <c r="G58" s="18">
        <f>F58/E58</f>
        <v>0.90090090090090091</v>
      </c>
      <c r="H58" s="4">
        <v>45395</v>
      </c>
      <c r="I58" s="4">
        <v>45466</v>
      </c>
      <c r="J58" s="20">
        <f t="shared" si="0"/>
        <v>71</v>
      </c>
    </row>
    <row r="59" spans="1:10" x14ac:dyDescent="0.15">
      <c r="A59" s="2">
        <v>52</v>
      </c>
      <c r="B59" s="1" t="s">
        <v>76</v>
      </c>
      <c r="C59" s="1" t="s">
        <v>39</v>
      </c>
      <c r="D59" s="1" t="s">
        <v>72</v>
      </c>
      <c r="E59" s="3">
        <v>375000</v>
      </c>
      <c r="F59" s="3">
        <v>330000</v>
      </c>
      <c r="G59" s="18">
        <f>F59/E59</f>
        <v>0.88</v>
      </c>
      <c r="H59" s="4">
        <v>45438</v>
      </c>
      <c r="I59" s="4">
        <v>45534</v>
      </c>
      <c r="J59" s="20">
        <f t="shared" si="0"/>
        <v>96</v>
      </c>
    </row>
    <row r="60" spans="1:10" x14ac:dyDescent="0.15">
      <c r="A60" s="2">
        <v>74</v>
      </c>
      <c r="B60" s="1" t="s">
        <v>99</v>
      </c>
      <c r="C60" s="1" t="s">
        <v>39</v>
      </c>
      <c r="D60" s="1" t="s">
        <v>72</v>
      </c>
      <c r="E60" s="3">
        <v>275900</v>
      </c>
      <c r="F60" s="3">
        <v>250000</v>
      </c>
      <c r="G60" s="18">
        <f>F60/E60</f>
        <v>0.90612540775643347</v>
      </c>
      <c r="H60" s="4">
        <v>45467</v>
      </c>
      <c r="I60" s="4">
        <v>45461</v>
      </c>
      <c r="J60" s="20">
        <f t="shared" si="0"/>
        <v>-6</v>
      </c>
    </row>
    <row r="61" spans="1:10" x14ac:dyDescent="0.15">
      <c r="A61" s="2">
        <v>51</v>
      </c>
      <c r="B61" s="1" t="s">
        <v>75</v>
      </c>
      <c r="C61" s="1" t="s">
        <v>39</v>
      </c>
      <c r="D61" s="1" t="s">
        <v>72</v>
      </c>
      <c r="E61" s="3">
        <v>345000</v>
      </c>
      <c r="F61" s="3">
        <v>335000</v>
      </c>
      <c r="G61" s="18">
        <f>F61/E61</f>
        <v>0.97101449275362317</v>
      </c>
      <c r="H61" s="4">
        <v>45435</v>
      </c>
      <c r="I61" s="4">
        <v>45519</v>
      </c>
      <c r="J61" s="20">
        <f t="shared" si="0"/>
        <v>84</v>
      </c>
    </row>
    <row r="62" spans="1:10" x14ac:dyDescent="0.15">
      <c r="A62" s="2">
        <v>63</v>
      </c>
      <c r="B62" s="1" t="s">
        <v>88</v>
      </c>
      <c r="C62" s="1" t="s">
        <v>39</v>
      </c>
      <c r="D62" s="1" t="s">
        <v>16</v>
      </c>
      <c r="E62" s="3">
        <v>410000</v>
      </c>
      <c r="F62" s="3">
        <v>350750</v>
      </c>
      <c r="G62" s="18">
        <f>F62/E62</f>
        <v>0.85548780487804876</v>
      </c>
      <c r="H62" s="4">
        <v>45446</v>
      </c>
      <c r="I62" s="4">
        <v>45505</v>
      </c>
      <c r="J62" s="20">
        <f t="shared" si="0"/>
        <v>59</v>
      </c>
    </row>
    <row r="63" spans="1:10" hidden="1" x14ac:dyDescent="0.15">
      <c r="A63" s="2">
        <v>10</v>
      </c>
      <c r="B63" s="1" t="s">
        <v>29</v>
      </c>
      <c r="C63" s="1" t="s">
        <v>20</v>
      </c>
      <c r="D63" s="1" t="s">
        <v>27</v>
      </c>
      <c r="E63" s="3">
        <v>165000</v>
      </c>
      <c r="F63" s="3">
        <v>156750</v>
      </c>
      <c r="G63" s="18">
        <f>F63/E63</f>
        <v>0.95</v>
      </c>
      <c r="H63" s="4">
        <v>45394</v>
      </c>
      <c r="I63" s="4">
        <v>45523</v>
      </c>
      <c r="J63" s="20">
        <f t="shared" si="0"/>
        <v>129</v>
      </c>
    </row>
    <row r="64" spans="1:10" x14ac:dyDescent="0.15">
      <c r="A64" s="2">
        <v>33</v>
      </c>
      <c r="B64" s="1" t="s">
        <v>56</v>
      </c>
      <c r="C64" s="1" t="s">
        <v>39</v>
      </c>
      <c r="D64" s="1" t="s">
        <v>18</v>
      </c>
      <c r="E64" s="3">
        <v>395000</v>
      </c>
      <c r="F64" s="3">
        <v>375000</v>
      </c>
      <c r="G64" s="18">
        <f>F64/E64</f>
        <v>0.94936708860759489</v>
      </c>
      <c r="H64" s="4">
        <v>45413</v>
      </c>
      <c r="I64" s="4">
        <v>45488</v>
      </c>
      <c r="J64" s="20">
        <f t="shared" si="0"/>
        <v>75</v>
      </c>
    </row>
    <row r="65" spans="1:10" hidden="1" x14ac:dyDescent="0.15">
      <c r="A65" s="2">
        <v>8</v>
      </c>
      <c r="B65" s="1" t="s">
        <v>26</v>
      </c>
      <c r="C65" s="1" t="s">
        <v>15</v>
      </c>
      <c r="D65" s="1" t="s">
        <v>27</v>
      </c>
      <c r="E65" s="3">
        <v>565000</v>
      </c>
      <c r="F65" s="3">
        <v>535000</v>
      </c>
      <c r="G65" s="18">
        <f>F65/E65</f>
        <v>0.94690265486725667</v>
      </c>
      <c r="H65" s="4">
        <v>45388</v>
      </c>
      <c r="I65" s="4">
        <v>45473</v>
      </c>
      <c r="J65" s="20">
        <f t="shared" si="0"/>
        <v>85</v>
      </c>
    </row>
    <row r="66" spans="1:10" x14ac:dyDescent="0.15">
      <c r="A66" s="2">
        <v>62</v>
      </c>
      <c r="B66" s="1" t="s">
        <v>87</v>
      </c>
      <c r="C66" s="1" t="s">
        <v>39</v>
      </c>
      <c r="D66" s="1" t="s">
        <v>83</v>
      </c>
      <c r="E66" s="3">
        <v>399000</v>
      </c>
      <c r="F66" s="3">
        <v>350000</v>
      </c>
      <c r="G66" s="18">
        <f>F66/E66</f>
        <v>0.8771929824561403</v>
      </c>
      <c r="H66" s="4">
        <v>45445</v>
      </c>
      <c r="I66" s="4">
        <v>45444</v>
      </c>
      <c r="J66" s="20">
        <f t="shared" si="0"/>
        <v>-1</v>
      </c>
    </row>
    <row r="67" spans="1:10" x14ac:dyDescent="0.15">
      <c r="A67" s="2">
        <v>28</v>
      </c>
      <c r="B67" s="1" t="s">
        <v>50</v>
      </c>
      <c r="C67" s="1" t="s">
        <v>39</v>
      </c>
      <c r="D67" s="1" t="s">
        <v>13</v>
      </c>
      <c r="E67" s="3">
        <v>450000</v>
      </c>
      <c r="F67" s="3">
        <v>400000</v>
      </c>
      <c r="G67" s="18">
        <f>F67/E67</f>
        <v>0.88888888888888884</v>
      </c>
      <c r="H67" s="4">
        <v>45412</v>
      </c>
      <c r="I67" s="4">
        <v>45519</v>
      </c>
      <c r="J67" s="20">
        <f t="shared" si="0"/>
        <v>107</v>
      </c>
    </row>
    <row r="68" spans="1:10" x14ac:dyDescent="0.15">
      <c r="A68" s="2">
        <v>18</v>
      </c>
      <c r="B68" s="1" t="s">
        <v>38</v>
      </c>
      <c r="C68" s="1" t="s">
        <v>39</v>
      </c>
      <c r="D68" s="1" t="s">
        <v>13</v>
      </c>
      <c r="E68" s="3">
        <v>300000</v>
      </c>
      <c r="F68" s="3">
        <v>300000</v>
      </c>
      <c r="G68" s="18">
        <f>F68/E68</f>
        <v>1</v>
      </c>
      <c r="H68" s="4">
        <v>45400</v>
      </c>
      <c r="I68" s="4">
        <v>45519</v>
      </c>
      <c r="J68" s="20">
        <f t="shared" ref="J68:J92" si="1">I68-H68</f>
        <v>119</v>
      </c>
    </row>
    <row r="69" spans="1:10" x14ac:dyDescent="0.15">
      <c r="A69" s="2">
        <v>26</v>
      </c>
      <c r="B69" s="1" t="s">
        <v>47</v>
      </c>
      <c r="C69" s="1" t="s">
        <v>39</v>
      </c>
      <c r="D69" s="1" t="s">
        <v>21</v>
      </c>
      <c r="E69" s="3">
        <v>515000</v>
      </c>
      <c r="F69" s="3">
        <v>485750</v>
      </c>
      <c r="G69" s="18">
        <f>F69/E69</f>
        <v>0.94320388349514561</v>
      </c>
      <c r="H69" s="4">
        <v>45411</v>
      </c>
      <c r="I69" s="4">
        <v>45537</v>
      </c>
      <c r="J69" s="20">
        <f t="shared" si="1"/>
        <v>126</v>
      </c>
    </row>
    <row r="70" spans="1:10" x14ac:dyDescent="0.15">
      <c r="A70" s="2">
        <v>22</v>
      </c>
      <c r="B70" s="1" t="s">
        <v>43</v>
      </c>
      <c r="C70" s="1" t="s">
        <v>39</v>
      </c>
      <c r="D70" s="1" t="s">
        <v>21</v>
      </c>
      <c r="E70" s="3">
        <v>325000</v>
      </c>
      <c r="F70" s="3">
        <v>320000</v>
      </c>
      <c r="G70" s="18">
        <f>F70/E70</f>
        <v>0.98461538461538467</v>
      </c>
      <c r="H70" s="4">
        <v>45410</v>
      </c>
      <c r="I70" s="4">
        <v>45626</v>
      </c>
      <c r="J70" s="20">
        <f t="shared" si="1"/>
        <v>216</v>
      </c>
    </row>
    <row r="71" spans="1:10" x14ac:dyDescent="0.15">
      <c r="A71" s="2">
        <v>57</v>
      </c>
      <c r="B71" s="1" t="s">
        <v>81</v>
      </c>
      <c r="C71" s="1" t="s">
        <v>39</v>
      </c>
      <c r="D71" s="1" t="s">
        <v>35</v>
      </c>
      <c r="E71" s="3">
        <v>400000</v>
      </c>
      <c r="F71" s="3">
        <v>375000</v>
      </c>
      <c r="G71" s="18">
        <f>F71/E71</f>
        <v>0.9375</v>
      </c>
      <c r="H71" s="4">
        <v>45443</v>
      </c>
      <c r="I71" s="4">
        <v>45580</v>
      </c>
      <c r="J71" s="20">
        <f t="shared" si="1"/>
        <v>137</v>
      </c>
    </row>
    <row r="72" spans="1:10" x14ac:dyDescent="0.15">
      <c r="A72" s="2">
        <v>72</v>
      </c>
      <c r="B72" s="1" t="s">
        <v>97</v>
      </c>
      <c r="C72" s="1" t="s">
        <v>39</v>
      </c>
      <c r="D72" s="1" t="s">
        <v>35</v>
      </c>
      <c r="E72" s="3">
        <v>300000</v>
      </c>
      <c r="F72" s="3">
        <v>250000</v>
      </c>
      <c r="G72" s="18">
        <f>F72/E72</f>
        <v>0.83333333333333337</v>
      </c>
      <c r="H72" s="4">
        <v>45466</v>
      </c>
      <c r="I72" s="4">
        <v>45474</v>
      </c>
      <c r="J72" s="20">
        <f t="shared" si="1"/>
        <v>8</v>
      </c>
    </row>
    <row r="73" spans="1:10" x14ac:dyDescent="0.15">
      <c r="A73" s="2">
        <v>47</v>
      </c>
      <c r="B73" s="1" t="s">
        <v>70</v>
      </c>
      <c r="C73" s="1" t="s">
        <v>39</v>
      </c>
      <c r="D73" s="1" t="s">
        <v>35</v>
      </c>
      <c r="E73" s="3">
        <v>325000</v>
      </c>
      <c r="F73" s="3">
        <v>325000</v>
      </c>
      <c r="G73" s="18">
        <f>F73/E73</f>
        <v>1</v>
      </c>
      <c r="H73" s="4">
        <v>45430</v>
      </c>
      <c r="I73" s="4">
        <v>45499</v>
      </c>
      <c r="J73" s="20">
        <f t="shared" si="1"/>
        <v>69</v>
      </c>
    </row>
    <row r="74" spans="1:10" x14ac:dyDescent="0.15">
      <c r="A74" s="2">
        <v>67</v>
      </c>
      <c r="B74" s="1" t="s">
        <v>92</v>
      </c>
      <c r="C74" s="1" t="s">
        <v>39</v>
      </c>
      <c r="D74" s="1" t="s">
        <v>27</v>
      </c>
      <c r="E74" s="3">
        <v>250000</v>
      </c>
      <c r="F74" s="3">
        <v>275000</v>
      </c>
      <c r="G74" s="18">
        <f>F74/E74</f>
        <v>1.1000000000000001</v>
      </c>
      <c r="H74" s="4">
        <v>45455</v>
      </c>
      <c r="I74" s="4">
        <v>45550</v>
      </c>
      <c r="J74" s="20">
        <f t="shared" si="1"/>
        <v>95</v>
      </c>
    </row>
    <row r="75" spans="1:10" x14ac:dyDescent="0.15">
      <c r="A75" s="2">
        <v>42</v>
      </c>
      <c r="B75" s="1" t="s">
        <v>65</v>
      </c>
      <c r="C75" s="1" t="s">
        <v>39</v>
      </c>
      <c r="D75" s="1" t="s">
        <v>27</v>
      </c>
      <c r="E75" s="3">
        <v>460750</v>
      </c>
      <c r="F75" s="3">
        <v>435500</v>
      </c>
      <c r="G75" s="18">
        <f>F75/E75</f>
        <v>0.94519804666304941</v>
      </c>
      <c r="H75" s="4">
        <v>45417</v>
      </c>
      <c r="I75" s="4">
        <v>45468</v>
      </c>
      <c r="J75" s="20">
        <f t="shared" si="1"/>
        <v>51</v>
      </c>
    </row>
    <row r="76" spans="1:10" x14ac:dyDescent="0.15">
      <c r="A76" s="2">
        <v>23</v>
      </c>
      <c r="B76" s="1" t="s">
        <v>44</v>
      </c>
      <c r="C76" s="1" t="s">
        <v>39</v>
      </c>
      <c r="D76" s="1" t="s">
        <v>27</v>
      </c>
      <c r="E76" s="3">
        <v>285750</v>
      </c>
      <c r="F76" s="3">
        <v>300000</v>
      </c>
      <c r="G76" s="18">
        <f>F76/E76</f>
        <v>1.0498687664041995</v>
      </c>
      <c r="H76" s="4">
        <v>45410</v>
      </c>
      <c r="I76" s="4">
        <v>45494</v>
      </c>
      <c r="J76" s="20">
        <f t="shared" si="1"/>
        <v>84</v>
      </c>
    </row>
    <row r="77" spans="1:10" x14ac:dyDescent="0.15">
      <c r="A77" s="2">
        <v>31</v>
      </c>
      <c r="B77" s="1" t="s">
        <v>53</v>
      </c>
      <c r="C77" s="1" t="s">
        <v>39</v>
      </c>
      <c r="D77" s="1" t="s">
        <v>49</v>
      </c>
      <c r="E77" s="3">
        <v>375500</v>
      </c>
      <c r="F77" s="3">
        <v>375500</v>
      </c>
      <c r="G77" s="18">
        <f>F77/E77</f>
        <v>1</v>
      </c>
      <c r="H77" s="4">
        <v>45413</v>
      </c>
      <c r="I77" s="4">
        <v>45481</v>
      </c>
      <c r="J77" s="20">
        <f t="shared" si="1"/>
        <v>68</v>
      </c>
    </row>
    <row r="78" spans="1:10" x14ac:dyDescent="0.15">
      <c r="A78" s="2">
        <v>29</v>
      </c>
      <c r="B78" s="1" t="s">
        <v>51</v>
      </c>
      <c r="C78" s="1" t="s">
        <v>39</v>
      </c>
      <c r="D78" s="1" t="s">
        <v>49</v>
      </c>
      <c r="E78" s="3">
        <v>310000</v>
      </c>
      <c r="F78" s="3">
        <v>300000</v>
      </c>
      <c r="G78" s="18">
        <f>F78/E78</f>
        <v>0.967741935483871</v>
      </c>
      <c r="H78" s="4">
        <v>45412</v>
      </c>
      <c r="I78" s="4">
        <v>45565</v>
      </c>
      <c r="J78" s="20">
        <f t="shared" si="1"/>
        <v>153</v>
      </c>
    </row>
    <row r="79" spans="1:10" x14ac:dyDescent="0.15">
      <c r="A79" s="2">
        <v>41</v>
      </c>
      <c r="B79" s="1" t="s">
        <v>64</v>
      </c>
      <c r="C79" s="1" t="s">
        <v>39</v>
      </c>
      <c r="D79" s="1" t="s">
        <v>49</v>
      </c>
      <c r="E79" s="3">
        <v>500000</v>
      </c>
      <c r="F79" s="3">
        <v>425000</v>
      </c>
      <c r="G79" s="18">
        <f>F79/E79</f>
        <v>0.85</v>
      </c>
      <c r="H79" s="4">
        <v>45417</v>
      </c>
      <c r="I79" s="4">
        <v>45565</v>
      </c>
      <c r="J79" s="20">
        <f t="shared" si="1"/>
        <v>148</v>
      </c>
    </row>
    <row r="80" spans="1:10" x14ac:dyDescent="0.15">
      <c r="A80" s="2">
        <v>77</v>
      </c>
      <c r="B80" s="1" t="s">
        <v>102</v>
      </c>
      <c r="C80" s="1" t="s">
        <v>39</v>
      </c>
      <c r="D80" s="1" t="s">
        <v>49</v>
      </c>
      <c r="E80" s="3">
        <v>299999</v>
      </c>
      <c r="F80" s="3">
        <v>280000</v>
      </c>
      <c r="G80" s="18">
        <f>F80/E80</f>
        <v>0.9333364444548149</v>
      </c>
      <c r="H80" s="4">
        <v>45472</v>
      </c>
      <c r="I80" s="4">
        <v>45556</v>
      </c>
      <c r="J80" s="20">
        <f t="shared" si="1"/>
        <v>84</v>
      </c>
    </row>
    <row r="81" spans="1:10" hidden="1" x14ac:dyDescent="0.15">
      <c r="A81" s="2">
        <v>36</v>
      </c>
      <c r="B81" s="1" t="s">
        <v>59</v>
      </c>
      <c r="C81" s="1" t="s">
        <v>15</v>
      </c>
      <c r="D81" s="1" t="s">
        <v>55</v>
      </c>
      <c r="E81" s="3">
        <v>450000</v>
      </c>
      <c r="F81" s="3">
        <v>400000</v>
      </c>
      <c r="G81" s="18">
        <f>F81/E81</f>
        <v>0.88888888888888884</v>
      </c>
      <c r="H81" s="4">
        <v>45414</v>
      </c>
      <c r="I81" s="4">
        <v>45598</v>
      </c>
      <c r="J81" s="20">
        <f t="shared" si="1"/>
        <v>184</v>
      </c>
    </row>
    <row r="82" spans="1:10" x14ac:dyDescent="0.15">
      <c r="A82" s="2">
        <v>79</v>
      </c>
      <c r="B82" s="1" t="s">
        <v>104</v>
      </c>
      <c r="C82" s="1" t="s">
        <v>39</v>
      </c>
      <c r="D82" s="1" t="s">
        <v>49</v>
      </c>
      <c r="E82" s="3">
        <v>339999</v>
      </c>
      <c r="F82" s="3">
        <v>310000</v>
      </c>
      <c r="G82" s="18">
        <f>F82/E82</f>
        <v>0.91176738755113984</v>
      </c>
      <c r="H82" s="4">
        <v>45473</v>
      </c>
      <c r="I82" s="4">
        <v>45473</v>
      </c>
      <c r="J82" s="20">
        <f t="shared" si="1"/>
        <v>0</v>
      </c>
    </row>
    <row r="83" spans="1:10" x14ac:dyDescent="0.15">
      <c r="A83" s="2">
        <v>64</v>
      </c>
      <c r="B83" s="1" t="s">
        <v>89</v>
      </c>
      <c r="C83" s="1" t="s">
        <v>39</v>
      </c>
      <c r="D83" s="1" t="s">
        <v>55</v>
      </c>
      <c r="E83" s="3">
        <v>285750</v>
      </c>
      <c r="F83" s="3">
        <v>300000</v>
      </c>
      <c r="G83" s="18">
        <f>F83/E83</f>
        <v>1.0498687664041995</v>
      </c>
      <c r="H83" s="4">
        <v>45448</v>
      </c>
      <c r="I83" s="4">
        <v>45519</v>
      </c>
      <c r="J83" s="20">
        <f t="shared" si="1"/>
        <v>71</v>
      </c>
    </row>
    <row r="84" spans="1:10" x14ac:dyDescent="0.15">
      <c r="A84" s="2">
        <v>38</v>
      </c>
      <c r="B84" s="1" t="s">
        <v>61</v>
      </c>
      <c r="C84" s="1" t="s">
        <v>39</v>
      </c>
      <c r="D84" s="1" t="s">
        <v>55</v>
      </c>
      <c r="E84" s="3">
        <v>475000</v>
      </c>
      <c r="F84" s="3">
        <v>425250</v>
      </c>
      <c r="G84" s="18">
        <f>F84/E84</f>
        <v>0.89526315789473687</v>
      </c>
      <c r="H84" s="4">
        <v>45417</v>
      </c>
      <c r="I84" s="4">
        <v>45553</v>
      </c>
      <c r="J84" s="20">
        <f t="shared" si="1"/>
        <v>136</v>
      </c>
    </row>
    <row r="85" spans="1:10" x14ac:dyDescent="0.15">
      <c r="I85" s="4">
        <v>45541</v>
      </c>
      <c r="J85" s="20">
        <f t="shared" si="1"/>
        <v>45541</v>
      </c>
    </row>
    <row r="86" spans="1:10" x14ac:dyDescent="0.15">
      <c r="I86" s="4">
        <v>45565</v>
      </c>
      <c r="J86" s="20">
        <f t="shared" si="1"/>
        <v>45565</v>
      </c>
    </row>
    <row r="87" spans="1:10" x14ac:dyDescent="0.15">
      <c r="I87" s="4">
        <v>45488</v>
      </c>
      <c r="J87" s="20">
        <f t="shared" si="1"/>
        <v>45488</v>
      </c>
    </row>
    <row r="88" spans="1:10" x14ac:dyDescent="0.15">
      <c r="I88" s="4">
        <v>45566</v>
      </c>
      <c r="J88" s="20">
        <f t="shared" si="1"/>
        <v>45566</v>
      </c>
    </row>
    <row r="89" spans="1:10" x14ac:dyDescent="0.15">
      <c r="I89" s="4">
        <v>45536</v>
      </c>
      <c r="J89" s="20">
        <f t="shared" si="1"/>
        <v>45536</v>
      </c>
    </row>
    <row r="90" spans="1:10" x14ac:dyDescent="0.15">
      <c r="I90" s="4">
        <v>45536</v>
      </c>
      <c r="J90" s="20">
        <f t="shared" si="1"/>
        <v>45536</v>
      </c>
    </row>
    <row r="91" spans="1:10" x14ac:dyDescent="0.15">
      <c r="I91" s="4">
        <v>45520</v>
      </c>
      <c r="J91" s="20">
        <f t="shared" si="1"/>
        <v>45520</v>
      </c>
    </row>
    <row r="92" spans="1:10" x14ac:dyDescent="0.15">
      <c r="I92" t="s">
        <v>109</v>
      </c>
      <c r="J92" s="20">
        <f t="shared" si="1"/>
        <v>45519</v>
      </c>
    </row>
  </sheetData>
  <mergeCells count="1">
    <mergeCell ref="A1:J1"/>
  </mergeCells>
  <conditionalFormatting sqref="J1:J1048576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F1:F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{C5AC7827-7C5A-E342-8E54-9BF7FE024E95}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5AC7827-7C5A-E342-8E54-9BF7FE024E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F1:F1048576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Filtered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Exploring Series</dc:creator>
  <cp:lastModifiedBy>Bri Boucher</cp:lastModifiedBy>
  <cp:lastPrinted>2009-06-11T04:38:00Z</cp:lastPrinted>
  <dcterms:created xsi:type="dcterms:W3CDTF">2004-09-21T13:02:15Z</dcterms:created>
  <dcterms:modified xsi:type="dcterms:W3CDTF">2025-11-12T21:38:33Z</dcterms:modified>
</cp:coreProperties>
</file>